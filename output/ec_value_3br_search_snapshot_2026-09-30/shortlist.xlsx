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Deck Top 10" sheetId="2" state="visible" r:id="rId2"/>
    <sheet name="All Listings" sheetId="3" state="visible" r:id="rId3"/>
    <sheet name="By Development" sheetId="4" state="visible" r:id="rId4"/>
  </sheets>
  <definedNames>
    <definedName name="_xlnm._FilterDatabase" localSheetId="1" hidden="1">'Deck Top 10'!$A$1:$N$11</definedName>
    <definedName name="_xlnm._FilterDatabase" localSheetId="2" hidden="1">'All Listings'!$A$1:$M$57</definedName>
    <definedName name="_xlnm._FilterDatabase" localSheetId="3" hidden="1">'By Development'!$A$1:$M$17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S$&quot;#,##0"/>
  </numFmts>
  <fonts count="9">
    <font>
      <name val="Calibri"/>
      <family val="2"/>
      <color theme="1"/>
      <sz val="11"/>
      <scheme val="minor"/>
    </font>
    <font>
      <name val="Arial"/>
      <b val="1"/>
      <color rgb="00F7F3EC"/>
    </font>
    <font>
      <name val="Arial"/>
      <color rgb="000563C1"/>
      <u val="single"/>
    </font>
    <font>
      <name val="Arial"/>
      <color rgb="009C5700"/>
    </font>
    <font>
      <name val="Arial"/>
      <i val="1"/>
      <color rgb="005F6863"/>
    </font>
    <font>
      <name val="Arial"/>
      <b val="1"/>
    </font>
    <font>
      <name val="Arial"/>
      <b val="1"/>
      <sz val="14"/>
    </font>
    <font>
      <name val="Arial"/>
      <sz val="11"/>
    </font>
    <font>
      <name val="Arial"/>
      <b val="1"/>
      <sz val="11"/>
    </font>
  </fonts>
  <fills count="5">
    <fill>
      <patternFill/>
    </fill>
    <fill>
      <patternFill patternType="gray125"/>
    </fill>
    <fill>
      <patternFill patternType="solid">
        <fgColor rgb="001D3530"/>
      </patternFill>
    </fill>
    <fill>
      <patternFill patternType="solid">
        <fgColor rgb="00E8EFE9"/>
      </patternFill>
    </fill>
    <fill>
      <patternFill patternType="solid">
        <fgColor rgb="00F3E3D6"/>
      </patternFill>
    </fill>
  </fills>
  <borders count="2">
    <border>
      <left/>
      <right/>
      <top/>
      <bottom/>
      <diagonal/>
    </border>
    <border>
      <bottom style="thin">
        <color rgb="00D9D4C7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3" borderId="1" pivotButton="0" quotePrefix="0" xfId="0"/>
    <xf numFmtId="3" fontId="0" fillId="3" borderId="1" pivotButton="0" quotePrefix="0" xfId="0"/>
    <xf numFmtId="164" fontId="0" fillId="3" borderId="1" pivotButton="0" quotePrefix="0" xfId="0"/>
    <xf numFmtId="0" fontId="2" fillId="3" borderId="1" pivotButton="0" quotePrefix="0" xfId="0"/>
    <xf numFmtId="0" fontId="0" fillId="4" borderId="1" pivotButton="0" quotePrefix="0" xfId="0"/>
    <xf numFmtId="3" fontId="0" fillId="4" borderId="1" pivotButton="0" quotePrefix="0" xfId="0"/>
    <xf numFmtId="164" fontId="0" fillId="4" borderId="1" pivotButton="0" quotePrefix="0" xfId="0"/>
    <xf numFmtId="0" fontId="2" fillId="4" borderId="1" pivotButton="0" quotePrefix="0" xfId="0"/>
    <xf numFmtId="0" fontId="0" fillId="0" borderId="1" pivotButton="0" quotePrefix="0" xfId="0"/>
    <xf numFmtId="3" fontId="0" fillId="0" borderId="1" pivotButton="0" quotePrefix="0" xfId="0"/>
    <xf numFmtId="164" fontId="0" fillId="0" borderId="1" pivotButton="0" quotePrefix="0" xfId="0"/>
    <xf numFmtId="0" fontId="3" fillId="0" borderId="1" pivotButton="0" quotePrefix="0" xfId="0"/>
    <xf numFmtId="0" fontId="2" fillId="0" borderId="1" pivotButton="0" quotePrefix="0" xfId="0"/>
    <xf numFmtId="0" fontId="4" fillId="0" borderId="0" pivotButton="0" quotePrefix="0" xfId="0"/>
    <xf numFmtId="0" fontId="5" fillId="0" borderId="1" pivotButton="0" quotePrefix="0" xfId="0"/>
    <xf numFmtId="3" fontId="5" fillId="0" borderId="1" pivotButton="0" quotePrefix="0" xfId="0"/>
    <xf numFmtId="164" fontId="5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Claude</author>
  </authors>
  <commentList>
    <comment ref="B9" authorId="0" shapeId="0">
      <text>
        <t>Kept in the Top 10 at June's request; listings and $1.6M price from June's live check on 30 Sep.</t>
      </text>
    </comment>
  </commentList>
</comments>
</file>

<file path=xl/comments/comment2.xml><?xml version="1.0" encoding="utf-8"?>
<comments xmlns="http://schemas.openxmlformats.org/spreadsheetml/2006/main">
  <authors>
    <author>Claude</author>
  </authors>
  <commentList>
    <comment ref="K1" authorId="0" shapeId="0">
      <text>
        <t>Best PSF across all listings, including older ones that may be sold. The deck's pick prefers current listings, so it can differ.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propertyguru.com.sg/listing/for-sale-signature-at-yishun-500040599" TargetMode="External" Id="rId1" /><Relationship Type="http://schemas.openxmlformats.org/officeDocument/2006/relationships/hyperlink" Target="https://www.propertyguru.com.sg/listing/for-sale-forestville-500210303" TargetMode="External" Id="rId2" /><Relationship Type="http://schemas.openxmlformats.org/officeDocument/2006/relationships/hyperlink" Target="https://www.propertyguru.com.sg/listing/for-sale-northwave-ec-500112362" TargetMode="External" Id="rId3" /><Relationship Type="http://schemas.openxmlformats.org/officeDocument/2006/relationships/hyperlink" Target="https://www.propertyguru.com.sg/listing/for-sale-twin-fountains-500211452" TargetMode="External" Id="rId4" /><Relationship Type="http://schemas.openxmlformats.org/officeDocument/2006/relationships/hyperlink" Target="https://www.propertyguru.com.sg/listing/for-sale-sea-horizon-500229700" TargetMode="External" Id="rId5" /><Relationship Type="http://schemas.openxmlformats.org/officeDocument/2006/relationships/hyperlink" Target="https://www.propertyguru.com.sg/listing/for-sale-westwood-residences-ec-500264493" TargetMode="External" Id="rId6" /><Relationship Type="http://schemas.openxmlformats.org/officeDocument/2006/relationships/hyperlink" Target="https://www.propertyguru.com.sg/listing/for-sale-lake-life-500033581" TargetMode="External" Id="rId7" /><Relationship Type="http://schemas.openxmlformats.org/officeDocument/2006/relationships/hyperlink" Target="https://www.propertyguru.com.sg/listing/for-sale-the-topiary-500240724" TargetMode="External" Id="rId8" /><Relationship Type="http://schemas.openxmlformats.org/officeDocument/2006/relationships/hyperlink" Target="https://www.propertyguru.com.sg/listing/for-sale-ecopolitan-500222082" TargetMode="External" Id="rId9" /><Relationship Type="http://schemas.openxmlformats.org/officeDocument/2006/relationships/hyperlink" Target="https://www.propertyguru.com.sg/listing/for-sale-the-amore-500196584" TargetMode="External" Id="rId10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ropertyguru.com.sg/listing/for-sale-bellewoods-500165618" TargetMode="External" Id="rId1" /><Relationship Type="http://schemas.openxmlformats.org/officeDocument/2006/relationships/hyperlink" Target="https://www.propertyguru.com.sg/listing/for-sale-ecopolitan-500222082" TargetMode="External" Id="rId2" /><Relationship Type="http://schemas.openxmlformats.org/officeDocument/2006/relationships/hyperlink" Target="https://www.propertyguru.com.sg/listing/for-sale-forestville-25455664" TargetMode="External" Id="rId3" /><Relationship Type="http://schemas.openxmlformats.org/officeDocument/2006/relationships/hyperlink" Target="https://www.propertyguru.com.sg/listing/for-sale-forestville-500213788" TargetMode="External" Id="rId4" /><Relationship Type="http://schemas.openxmlformats.org/officeDocument/2006/relationships/hyperlink" Target="https://www.propertyguru.com.sg/listing/for-sale-forestville-500210303" TargetMode="External" Id="rId5" /><Relationship Type="http://schemas.openxmlformats.org/officeDocument/2006/relationships/hyperlink" Target="https://www.propertyguru.com.sg/listing/for-sale-forestville-500073495" TargetMode="External" Id="rId6" /><Relationship Type="http://schemas.openxmlformats.org/officeDocument/2006/relationships/hyperlink" Target="https://www.propertyguru.com.sg/listing/for-sale-forestville-500234193" TargetMode="External" Id="rId7" /><Relationship Type="http://schemas.openxmlformats.org/officeDocument/2006/relationships/hyperlink" Target="https://www.propertyguru.com.sg/listing/for-sale-forestville-25362802" TargetMode="External" Id="rId8" /><Relationship Type="http://schemas.openxmlformats.org/officeDocument/2006/relationships/hyperlink" Target="https://www.propertyguru.com.sg/listing/for-sale-lake-life-500033581" TargetMode="External" Id="rId9" /><Relationship Type="http://schemas.openxmlformats.org/officeDocument/2006/relationships/hyperlink" Target="https://www.propertyguru.com.sg/listing/for-sale-lake-life-25567279" TargetMode="External" Id="rId10" /><Relationship Type="http://schemas.openxmlformats.org/officeDocument/2006/relationships/hyperlink" Target="https://www.propertyguru.com.sg/listing/for-sale-lake-life-60132621" TargetMode="External" Id="rId11" /><Relationship Type="http://schemas.openxmlformats.org/officeDocument/2006/relationships/hyperlink" Target="https://www.propertyguru.com.sg/listing/for-sale-northwave-ec-500112362" TargetMode="External" Id="rId12" /><Relationship Type="http://schemas.openxmlformats.org/officeDocument/2006/relationships/hyperlink" Target="https://www.propertyguru.com.sg/listing/for-sale-northwave-ec-60175231" TargetMode="External" Id="rId13" /><Relationship Type="http://schemas.openxmlformats.org/officeDocument/2006/relationships/hyperlink" Target="https://www.propertyguru.com.sg/listing/for-sale-northwave-ec-60047599" TargetMode="External" Id="rId14" /><Relationship Type="http://schemas.openxmlformats.org/officeDocument/2006/relationships/hyperlink" Target="https://www.propertyguru.com.sg/listing/for-sale-parc-life-500158569" TargetMode="External" Id="rId15" /><Relationship Type="http://schemas.openxmlformats.org/officeDocument/2006/relationships/hyperlink" Target="https://www.propertyguru.com.sg/listing/for-sale-parc-life-500268300" TargetMode="External" Id="rId16" /><Relationship Type="http://schemas.openxmlformats.org/officeDocument/2006/relationships/hyperlink" Target="https://www.propertyguru.com.sg/listing/for-sale-parc-life-500214081" TargetMode="External" Id="rId17" /><Relationship Type="http://schemas.openxmlformats.org/officeDocument/2006/relationships/hyperlink" Target="https://www.propertyguru.com.sg/listing/for-sale-parc-life-500073244" TargetMode="External" Id="rId18" /><Relationship Type="http://schemas.openxmlformats.org/officeDocument/2006/relationships/hyperlink" Target="https://www.propertyguru.com.sg/listing/for-sale-parc-life-500076102" TargetMode="External" Id="rId19" /><Relationship Type="http://schemas.openxmlformats.org/officeDocument/2006/relationships/hyperlink" Target="https://www.propertyguru.com.sg/listing/for-sale-parc-life-500257739" TargetMode="External" Id="rId20" /><Relationship Type="http://schemas.openxmlformats.org/officeDocument/2006/relationships/hyperlink" Target="https://www.propertyguru.com.sg/listing/for-sale-parc-life-60080826" TargetMode="External" Id="rId21" /><Relationship Type="http://schemas.openxmlformats.org/officeDocument/2006/relationships/hyperlink" Target="https://www.propertyguru.com.sg/listing/for-sale-sea-horizon-500090163" TargetMode="External" Id="rId22" /><Relationship Type="http://schemas.openxmlformats.org/officeDocument/2006/relationships/hyperlink" Target="https://www.propertyguru.com.sg/listing/for-sale-sea-horizon-500229700" TargetMode="External" Id="rId23" /><Relationship Type="http://schemas.openxmlformats.org/officeDocument/2006/relationships/hyperlink" Target="https://www.propertyguru.com.sg/listing/for-sale-sea-horizon-500207797" TargetMode="External" Id="rId24" /><Relationship Type="http://schemas.openxmlformats.org/officeDocument/2006/relationships/hyperlink" Target="https://www.propertyguru.com.sg/listing/for-sale-sea-horizon-500100852" TargetMode="External" Id="rId25" /><Relationship Type="http://schemas.openxmlformats.org/officeDocument/2006/relationships/hyperlink" Target="https://www.propertyguru.com.sg/listing/for-sale-sea-horizon-500223553" TargetMode="External" Id="rId26" /><Relationship Type="http://schemas.openxmlformats.org/officeDocument/2006/relationships/hyperlink" Target="https://www.propertyguru.com.sg/listing/for-sale-sea-horizon-500270682" TargetMode="External" Id="rId27" /><Relationship Type="http://schemas.openxmlformats.org/officeDocument/2006/relationships/hyperlink" Target="https://www.propertyguru.com.sg/listing/for-sale-signature-at-yishun-500040599" TargetMode="External" Id="rId28" /><Relationship Type="http://schemas.openxmlformats.org/officeDocument/2006/relationships/hyperlink" Target="https://www.propertyguru.com.sg/listing/for-sale-signature-at-yishun-500006219" TargetMode="External" Id="rId29" /><Relationship Type="http://schemas.openxmlformats.org/officeDocument/2006/relationships/hyperlink" Target="https://www.propertyguru.com.sg/listing/for-sale-signature-at-yishun-500275548" TargetMode="External" Id="rId30" /><Relationship Type="http://schemas.openxmlformats.org/officeDocument/2006/relationships/hyperlink" Target="https://www.propertyguru.com.sg/listing/for-sale-sol-acres-500267374" TargetMode="External" Id="rId31" /><Relationship Type="http://schemas.openxmlformats.org/officeDocument/2006/relationships/hyperlink" Target="https://www.propertyguru.com.sg/listing/for-sale-sol-acres-500235197" TargetMode="External" Id="rId32" /><Relationship Type="http://schemas.openxmlformats.org/officeDocument/2006/relationships/hyperlink" Target="https://www.propertyguru.com.sg/listing/for-sale-the-amore-24007923" TargetMode="External" Id="rId33" /><Relationship Type="http://schemas.openxmlformats.org/officeDocument/2006/relationships/hyperlink" Target="https://www.propertyguru.com.sg/listing/for-sale-the-amore-500196584" TargetMode="External" Id="rId34" /><Relationship Type="http://schemas.openxmlformats.org/officeDocument/2006/relationships/hyperlink" Target="https://www.propertyguru.com.sg/listing/for-sale-the-criterion-500212712" TargetMode="External" Id="rId35" /><Relationship Type="http://schemas.openxmlformats.org/officeDocument/2006/relationships/hyperlink" Target="https://www.propertyguru.com.sg/listing/for-sale-the-criterion-500207742" TargetMode="External" Id="rId36" /><Relationship Type="http://schemas.openxmlformats.org/officeDocument/2006/relationships/hyperlink" Target="https://www.propertyguru.com.sg/listing/for-sale-the-criterion-500229851" TargetMode="External" Id="rId37" /><Relationship Type="http://schemas.openxmlformats.org/officeDocument/2006/relationships/hyperlink" Target="https://www.propertyguru.com.sg/listing/for-sale-the-criterion-500107124" TargetMode="External" Id="rId38" /><Relationship Type="http://schemas.openxmlformats.org/officeDocument/2006/relationships/hyperlink" Target="https://www.propertyguru.com.sg/listing/for-sale-the-terrace-500234857" TargetMode="External" Id="rId39" /><Relationship Type="http://schemas.openxmlformats.org/officeDocument/2006/relationships/hyperlink" Target="https://www.propertyguru.com.sg/listing/for-sale-the-terrace-500138110" TargetMode="External" Id="rId40" /><Relationship Type="http://schemas.openxmlformats.org/officeDocument/2006/relationships/hyperlink" Target="https://www.propertyguru.com.sg/listing/for-sale-the-topiary-500240724" TargetMode="External" Id="rId41" /><Relationship Type="http://schemas.openxmlformats.org/officeDocument/2006/relationships/hyperlink" Target="https://www.propertyguru.com.sg/listing/for-sale-the-topiary-500104027" TargetMode="External" Id="rId42" /><Relationship Type="http://schemas.openxmlformats.org/officeDocument/2006/relationships/hyperlink" Target="https://www.propertyguru.com.sg/listing/for-sale-the-topiary-500229235" TargetMode="External" Id="rId43" /><Relationship Type="http://schemas.openxmlformats.org/officeDocument/2006/relationships/hyperlink" Target="https://www.propertyguru.com.sg/listing/for-sale-the-visionaire-500139384" TargetMode="External" Id="rId44" /><Relationship Type="http://schemas.openxmlformats.org/officeDocument/2006/relationships/hyperlink" Target="https://www.propertyguru.com.sg/listing/for-sale-twin-fountains-500070595" TargetMode="External" Id="rId45" /><Relationship Type="http://schemas.openxmlformats.org/officeDocument/2006/relationships/hyperlink" Target="https://www.propertyguru.com.sg/listing/for-sale-twin-fountains-25542447" TargetMode="External" Id="rId46" /><Relationship Type="http://schemas.openxmlformats.org/officeDocument/2006/relationships/hyperlink" Target="https://www.propertyguru.com.sg/listing/for-sale-twin-fountains-60145981" TargetMode="External" Id="rId47" /><Relationship Type="http://schemas.openxmlformats.org/officeDocument/2006/relationships/hyperlink" Target="https://www.propertyguru.com.sg/listing/for-sale-twin-fountains-60216211" TargetMode="External" Id="rId48" /><Relationship Type="http://schemas.openxmlformats.org/officeDocument/2006/relationships/hyperlink" Target="https://www.propertyguru.com.sg/listing/for-sale-twin-fountains-60221142" TargetMode="External" Id="rId49" /><Relationship Type="http://schemas.openxmlformats.org/officeDocument/2006/relationships/hyperlink" Target="https://www.propertyguru.com.sg/listing/for-sale-twin-fountains-60107150" TargetMode="External" Id="rId50" /><Relationship Type="http://schemas.openxmlformats.org/officeDocument/2006/relationships/hyperlink" Target="https://www.propertyguru.com.sg/listing/for-sale-twin-fountains-500231540" TargetMode="External" Id="rId51" /><Relationship Type="http://schemas.openxmlformats.org/officeDocument/2006/relationships/hyperlink" Target="https://www.propertyguru.com.sg/listing/for-sale-twin-fountains-500211452" TargetMode="External" Id="rId52" /><Relationship Type="http://schemas.openxmlformats.org/officeDocument/2006/relationships/hyperlink" Target="https://www.propertyguru.com.sg/listing/for-sale-westwood-residences-ec-500264493" TargetMode="External" Id="rId53" /><Relationship Type="http://schemas.openxmlformats.org/officeDocument/2006/relationships/hyperlink" Target="https://www.propertyguru.com.sg/listing/for-sale-westwood-residences-ec-500255283" TargetMode="External" Id="rId54" /><Relationship Type="http://schemas.openxmlformats.org/officeDocument/2006/relationships/hyperlink" Target="https://www.propertyguru.com.sg/listing/for-sale-westwood-residences-ec-500276758" TargetMode="External" Id="rId55" /><Relationship Type="http://schemas.openxmlformats.org/officeDocument/2006/relationships/hyperlink" Target="https://www.propertyguru.com.sg/listing/for-sale-westwood-residences-ec-500225608" TargetMode="External" Id="rId56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7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>
      <c r="A1" s="1" t="inlineStr">
        <is>
          <t>Value 3BR ECs under S$1.6M: shortlist</t>
        </is>
      </c>
    </row>
    <row r="2">
      <c r="A2" s="2" t="inlineStr">
        <is>
          <t>Matches the lead deck 'Value 3BR ECs under $1.6M' (claude.ai/artifact/WiffHoXQUWR6axSvAG9DvZ). As at 30 Sep 2026.</t>
        </is>
      </c>
    </row>
    <row r="3">
      <c r="A3" s="2" t="inlineStr"/>
    </row>
    <row r="4">
      <c r="A4" s="3" t="inlineStr">
        <is>
          <t>Criteria</t>
        </is>
      </c>
    </row>
    <row r="5">
      <c r="A5" s="2" t="inlineStr">
        <is>
          <t>Executive condominiums, 3 bedrooms (or 3 + study), 1,000 sqft and up, asking S$1.6M or less.</t>
        </is>
      </c>
    </row>
    <row r="6">
      <c r="A6" s="2" t="inlineStr">
        <is>
          <t>Completed (TOP) in 2016 or later and past the 5-year MOP, so on the open market.</t>
        </is>
      </c>
    </row>
    <row r="7">
      <c r="A7" s="2" t="inlineStr"/>
    </row>
    <row r="8">
      <c r="A8" s="3" t="inlineStr">
        <is>
          <t>Sheets</t>
        </is>
      </c>
    </row>
    <row r="9">
      <c r="A9" s="2" t="inlineStr">
        <is>
          <t>Deck Top 10: the 10 value picks in deck order, one per development.</t>
        </is>
      </c>
    </row>
    <row r="10">
      <c r="A10" s="2" t="inlineStr">
        <is>
          <t>All Listings: every matching listing. Peach rows = deck Top 10 picks; green rows = best value in other developments.</t>
        </is>
      </c>
    </row>
    <row r="11">
      <c r="A11" s="2" t="inlineStr">
        <is>
          <t>By Development: counts, price range and best PSF per development, calculated from All Listings.</t>
        </is>
      </c>
    </row>
    <row r="12">
      <c r="A12" s="2" t="inlineStr"/>
    </row>
    <row r="13">
      <c r="A13" s="3" t="inlineStr">
        <is>
          <t>Caveats</t>
        </is>
      </c>
    </row>
    <row r="14">
      <c r="A14" s="2" t="inlineStr">
        <is>
          <t>Prices and sizes come from PropertyGuru listing pages as shown in search results, which can lag the live site; some listings may be sold or repriced.</t>
        </is>
      </c>
    </row>
    <row r="15">
      <c r="A15" s="2" t="inlineStr">
        <is>
          <t>Orange 'Check' notes flag older listing IDs (may be stale) and figures to confirm. The Topiary prices are from June's live check on 30 Sep.</t>
        </is>
      </c>
    </row>
    <row r="16">
      <c r="A16" s="2" t="inlineStr">
        <is>
          <t>Re-run 'python -m pgscraper.ec_value --headful' on your own computer to refresh prices, sizes and photos from the live site.</t>
        </is>
      </c>
    </row>
    <row r="17">
      <c r="A17" s="2" t="inlineStr">
        <is>
          <t>Sources: listings from PropertyGuru; TOP dates from executive-condominium.com; unit counts from EdgeProp; train distances from Stacked Homes, PropertyGuru and developer guides.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4" customWidth="1" min="2" max="2"/>
    <col width="12" customWidth="1" min="3" max="3"/>
    <col width="16" customWidth="1" min="4" max="4"/>
    <col width="8" customWidth="1" min="5" max="5"/>
    <col width="14" customWidth="1" min="6" max="6"/>
    <col width="12" customWidth="1" min="7" max="7"/>
    <col width="14" customWidth="1" min="8" max="8"/>
    <col width="11" customWidth="1" min="9" max="9"/>
    <col width="28" customWidth="1" min="10" max="10"/>
    <col width="12" customWidth="1" min="11" max="11"/>
    <col width="13" customWidth="1" min="12" max="12"/>
    <col width="46" customWidth="1" min="13" max="13"/>
    <col width="60" customWidth="1" min="14" max="14"/>
  </cols>
  <sheetData>
    <row r="1" ht="32" customHeight="1">
      <c r="A1" s="4" t="inlineStr">
        <is>
          <t>Deck rank</t>
        </is>
      </c>
      <c r="B1" s="4" t="inlineStr">
        <is>
          <t>Development</t>
        </is>
      </c>
      <c r="C1" s="4" t="inlineStr">
        <is>
          <t>Zone</t>
        </is>
      </c>
      <c r="D1" s="4" t="inlineStr">
        <is>
          <t>Area</t>
        </is>
      </c>
      <c r="E1" s="4" t="inlineStr">
        <is>
          <t>TOP</t>
        </is>
      </c>
      <c r="F1" s="4" t="inlineStr">
        <is>
          <t>Layout</t>
        </is>
      </c>
      <c r="G1" s="4" t="inlineStr">
        <is>
          <t>Size (sqft)</t>
        </is>
      </c>
      <c r="H1" s="4" t="inlineStr">
        <is>
          <t>Asking (S$)</t>
        </is>
      </c>
      <c r="I1" s="4" t="inlineStr">
        <is>
          <t>PSF (S$)</t>
        </is>
      </c>
      <c r="J1" s="4" t="inlineStr">
        <is>
          <t>Nearest train</t>
        </is>
      </c>
      <c r="K1" s="4" t="inlineStr">
        <is>
          <t>Units in development</t>
        </is>
      </c>
      <c r="L1" s="4" t="inlineStr">
        <is>
          <t>Listing ref</t>
        </is>
      </c>
      <c r="M1" s="4" t="inlineStr">
        <is>
          <t>Check</t>
        </is>
      </c>
      <c r="N1" s="4" t="inlineStr">
        <is>
          <t>PropertyGuru link</t>
        </is>
      </c>
    </row>
    <row r="2">
      <c r="A2" s="13" t="n">
        <v>1</v>
      </c>
      <c r="B2" s="13" t="inlineStr">
        <is>
          <t>Signature at Yishun</t>
        </is>
      </c>
      <c r="C2" s="13" t="inlineStr">
        <is>
          <t>North</t>
        </is>
      </c>
      <c r="D2" s="13" t="inlineStr">
        <is>
          <t>Yishun</t>
        </is>
      </c>
      <c r="E2" s="13" t="inlineStr">
        <is>
          <t>2017</t>
        </is>
      </c>
      <c r="F2" s="13" t="inlineStr">
        <is>
          <t>3 bedrooms</t>
        </is>
      </c>
      <c r="G2" s="14" t="n">
        <v>1098</v>
      </c>
      <c r="H2" s="15" t="n">
        <v>1300000</v>
      </c>
      <c r="I2" s="15">
        <f>H2/G2</f>
        <v/>
      </c>
      <c r="J2" s="13" t="inlineStr">
        <is>
          <t>Khatib &amp; Yishun MRT</t>
        </is>
      </c>
      <c r="K2" s="14" t="n">
        <v>525</v>
      </c>
      <c r="L2" s="13" t="inlineStr">
        <is>
          <t>500040599</t>
        </is>
      </c>
      <c r="M2" s="13" t="inlineStr">
        <is>
          <t>size matched from search summary</t>
        </is>
      </c>
      <c r="N2" s="17" t="inlineStr">
        <is>
          <t>https://www.propertyguru.com.sg/listing/for-sale-signature-at-yishun-500040599</t>
        </is>
      </c>
    </row>
    <row r="3">
      <c r="A3" s="13" t="n">
        <v>2</v>
      </c>
      <c r="B3" s="13" t="inlineStr">
        <is>
          <t>Forestville</t>
        </is>
      </c>
      <c r="C3" s="13" t="inlineStr">
        <is>
          <t>North</t>
        </is>
      </c>
      <c r="D3" s="13" t="inlineStr">
        <is>
          <t>Woodlands</t>
        </is>
      </c>
      <c r="E3" s="13" t="inlineStr">
        <is>
          <t>2016</t>
        </is>
      </c>
      <c r="F3" s="13" t="inlineStr">
        <is>
          <t>3 bedrooms</t>
        </is>
      </c>
      <c r="G3" s="14" t="n">
        <v>1066</v>
      </c>
      <c r="H3" s="15" t="n">
        <v>1300000</v>
      </c>
      <c r="I3" s="15">
        <f>H3/G3</f>
        <v/>
      </c>
      <c r="J3" s="13" t="inlineStr">
        <is>
          <t>Admiralty MRT, ~900m</t>
        </is>
      </c>
      <c r="K3" s="14" t="n">
        <v>653</v>
      </c>
      <c r="L3" s="13" t="inlineStr">
        <is>
          <t>500210303</t>
        </is>
      </c>
      <c r="M3" s="13" t="inlineStr"/>
      <c r="N3" s="17" t="inlineStr">
        <is>
          <t>https://www.propertyguru.com.sg/listing/for-sale-forestville-500210303</t>
        </is>
      </c>
    </row>
    <row r="4">
      <c r="A4" s="13" t="n">
        <v>3</v>
      </c>
      <c r="B4" s="13" t="inlineStr">
        <is>
          <t>Northwave</t>
        </is>
      </c>
      <c r="C4" s="13" t="inlineStr">
        <is>
          <t>North</t>
        </is>
      </c>
      <c r="D4" s="13" t="inlineStr">
        <is>
          <t>Woodlands</t>
        </is>
      </c>
      <c r="E4" s="13" t="inlineStr">
        <is>
          <t>2019</t>
        </is>
      </c>
      <c r="F4" s="13" t="inlineStr">
        <is>
          <t>3 bedrooms</t>
        </is>
      </c>
      <c r="G4" s="14" t="n">
        <v>1098</v>
      </c>
      <c r="H4" s="15" t="n">
        <v>1360000</v>
      </c>
      <c r="I4" s="15">
        <f>H4/G4</f>
        <v/>
      </c>
      <c r="J4" s="13" t="inlineStr">
        <is>
          <t>Admiralty MRT, ~1.1km</t>
        </is>
      </c>
      <c r="K4" s="14" t="n">
        <v>358</v>
      </c>
      <c r="L4" s="13" t="inlineStr">
        <is>
          <t>500112362</t>
        </is>
      </c>
      <c r="M4" s="13" t="inlineStr"/>
      <c r="N4" s="17" t="inlineStr">
        <is>
          <t>https://www.propertyguru.com.sg/listing/for-sale-northwave-ec-500112362</t>
        </is>
      </c>
    </row>
    <row r="5">
      <c r="A5" s="13" t="n">
        <v>4</v>
      </c>
      <c r="B5" s="13" t="inlineStr">
        <is>
          <t>Twin Fountains</t>
        </is>
      </c>
      <c r="C5" s="13" t="inlineStr">
        <is>
          <t>North</t>
        </is>
      </c>
      <c r="D5" s="13" t="inlineStr">
        <is>
          <t>Woodlands</t>
        </is>
      </c>
      <c r="E5" s="13" t="inlineStr">
        <is>
          <t>2016</t>
        </is>
      </c>
      <c r="F5" s="13" t="inlineStr">
        <is>
          <t>3 bedrooms</t>
        </is>
      </c>
      <c r="G5" s="14" t="n">
        <v>1270</v>
      </c>
      <c r="H5" s="15" t="n">
        <v>1598000</v>
      </c>
      <c r="I5" s="15">
        <f>H5/G5</f>
        <v/>
      </c>
      <c r="J5" s="13" t="inlineStr">
        <is>
          <t>Woodlands South MRT, ~850m</t>
        </is>
      </c>
      <c r="K5" s="14" t="n">
        <v>418</v>
      </c>
      <c r="L5" s="13" t="inlineStr">
        <is>
          <t>500211452</t>
        </is>
      </c>
      <c r="M5" s="13" t="inlineStr"/>
      <c r="N5" s="17" t="inlineStr">
        <is>
          <t>https://www.propertyguru.com.sg/listing/for-sale-twin-fountains-500211452</t>
        </is>
      </c>
    </row>
    <row r="6">
      <c r="A6" s="13" t="n">
        <v>5</v>
      </c>
      <c r="B6" s="13" t="inlineStr">
        <is>
          <t>Sea Horizon</t>
        </is>
      </c>
      <c r="C6" s="13" t="inlineStr">
        <is>
          <t>East</t>
        </is>
      </c>
      <c r="D6" s="13" t="inlineStr">
        <is>
          <t>Pasir Ris</t>
        </is>
      </c>
      <c r="E6" s="13" t="inlineStr">
        <is>
          <t>2016</t>
        </is>
      </c>
      <c r="F6" s="13" t="inlineStr">
        <is>
          <t>3 bedrooms</t>
        </is>
      </c>
      <c r="G6" s="14" t="n">
        <v>1109</v>
      </c>
      <c r="H6" s="15" t="n">
        <v>1400000</v>
      </c>
      <c r="I6" s="15">
        <f>H6/G6</f>
        <v/>
      </c>
      <c r="J6" s="13" t="inlineStr">
        <is>
          <t>Pasir Ris MRT, ~15 min walk</t>
        </is>
      </c>
      <c r="K6" s="14" t="n">
        <v>495</v>
      </c>
      <c r="L6" s="13" t="inlineStr">
        <is>
          <t>500229700</t>
        </is>
      </c>
      <c r="M6" s="13" t="inlineStr"/>
      <c r="N6" s="17" t="inlineStr">
        <is>
          <t>https://www.propertyguru.com.sg/listing/for-sale-sea-horizon-500229700</t>
        </is>
      </c>
    </row>
    <row r="7">
      <c r="A7" s="13" t="n">
        <v>6</v>
      </c>
      <c r="B7" s="13" t="inlineStr">
        <is>
          <t>Westwood Residences</t>
        </is>
      </c>
      <c r="C7" s="13" t="inlineStr">
        <is>
          <t>West</t>
        </is>
      </c>
      <c r="D7" s="13" t="inlineStr">
        <is>
          <t>Jurong West</t>
        </is>
      </c>
      <c r="E7" s="13" t="inlineStr">
        <is>
          <t>2017</t>
        </is>
      </c>
      <c r="F7" s="13" t="inlineStr">
        <is>
          <t>3 bedrooms</t>
        </is>
      </c>
      <c r="G7" s="14" t="n">
        <v>1033</v>
      </c>
      <c r="H7" s="15" t="n">
        <v>1450000</v>
      </c>
      <c r="I7" s="15">
        <f>H7/G7</f>
        <v/>
      </c>
      <c r="J7" s="13" t="inlineStr">
        <is>
          <t>Boon Lay &amp; Pioneer MRT</t>
        </is>
      </c>
      <c r="K7" s="14" t="n">
        <v>480</v>
      </c>
      <c r="L7" s="13" t="inlineStr">
        <is>
          <t>500264493</t>
        </is>
      </c>
      <c r="M7" s="13" t="inlineStr"/>
      <c r="N7" s="17" t="inlineStr">
        <is>
          <t>https://www.propertyguru.com.sg/listing/for-sale-westwood-residences-ec-500264493</t>
        </is>
      </c>
    </row>
    <row r="8">
      <c r="A8" s="13" t="n">
        <v>7</v>
      </c>
      <c r="B8" s="13" t="inlineStr">
        <is>
          <t>Lake Life</t>
        </is>
      </c>
      <c r="C8" s="13" t="inlineStr">
        <is>
          <t>West</t>
        </is>
      </c>
      <c r="D8" s="13" t="inlineStr">
        <is>
          <t>Jurong West</t>
        </is>
      </c>
      <c r="E8" s="13" t="inlineStr">
        <is>
          <t>2016</t>
        </is>
      </c>
      <c r="F8" s="13" t="inlineStr">
        <is>
          <t>3 bedrooms</t>
        </is>
      </c>
      <c r="G8" s="14" t="n">
        <v>1023</v>
      </c>
      <c r="H8" s="15" t="n">
        <v>1491300</v>
      </c>
      <c r="I8" s="15">
        <f>H8/G8</f>
        <v/>
      </c>
      <c r="J8" s="13" t="inlineStr">
        <is>
          <t>Lakeside MRT, ~1.4km</t>
        </is>
      </c>
      <c r="K8" s="14" t="n">
        <v>546</v>
      </c>
      <c r="L8" s="13" t="inlineStr">
        <is>
          <t>500033581</t>
        </is>
      </c>
      <c r="M8" s="13" t="inlineStr"/>
      <c r="N8" s="17" t="inlineStr">
        <is>
          <t>https://www.propertyguru.com.sg/listing/for-sale-lake-life-500033581</t>
        </is>
      </c>
    </row>
    <row r="9">
      <c r="A9" s="13" t="n">
        <v>8</v>
      </c>
      <c r="B9" s="13" t="inlineStr">
        <is>
          <t>The Topiary</t>
        </is>
      </c>
      <c r="C9" s="13" t="inlineStr">
        <is>
          <t>North-East</t>
        </is>
      </c>
      <c r="D9" s="13" t="inlineStr">
        <is>
          <t>Sengkang</t>
        </is>
      </c>
      <c r="E9" s="13" t="inlineStr">
        <is>
          <t>2016</t>
        </is>
      </c>
      <c r="F9" s="13" t="inlineStr">
        <is>
          <t>3 bedrooms</t>
        </is>
      </c>
      <c r="G9" s="14" t="n">
        <v>1087</v>
      </c>
      <c r="H9" s="15" t="n">
        <v>1600000</v>
      </c>
      <c r="I9" s="15">
        <f>H9/G9</f>
        <v/>
      </c>
      <c r="J9" s="13" t="inlineStr">
        <is>
          <t>Fernvale LRT, ~550m</t>
        </is>
      </c>
      <c r="K9" s="14" t="n">
        <v>700</v>
      </c>
      <c r="L9" s="13" t="inlineStr">
        <is>
          <t>500240724</t>
        </is>
      </c>
      <c r="M9" s="13" t="inlineStr">
        <is>
          <t>price from June's live check 30 Sep; size to confirm</t>
        </is>
      </c>
      <c r="N9" s="17" t="inlineStr">
        <is>
          <t>https://www.propertyguru.com.sg/listing/for-sale-the-topiary-500240724</t>
        </is>
      </c>
    </row>
    <row r="10">
      <c r="A10" s="13" t="n">
        <v>9</v>
      </c>
      <c r="B10" s="13" t="inlineStr">
        <is>
          <t>Ecopolitan</t>
        </is>
      </c>
      <c r="C10" s="13" t="inlineStr">
        <is>
          <t>North-East</t>
        </is>
      </c>
      <c r="D10" s="13" t="inlineStr">
        <is>
          <t>Punggol</t>
        </is>
      </c>
      <c r="E10" s="13" t="inlineStr">
        <is>
          <t>2016</t>
        </is>
      </c>
      <c r="F10" s="13" t="inlineStr">
        <is>
          <t>3 bedrooms</t>
        </is>
      </c>
      <c r="G10" s="14" t="n">
        <v>1054</v>
      </c>
      <c r="H10" s="15" t="n">
        <v>1600000</v>
      </c>
      <c r="I10" s="15">
        <f>H10/G10</f>
        <v/>
      </c>
      <c r="J10" s="13" t="inlineStr">
        <is>
          <t>Punggol MRT, ~700m</t>
        </is>
      </c>
      <c r="K10" s="14" t="n">
        <v>512</v>
      </c>
      <c r="L10" s="13" t="inlineStr">
        <is>
          <t>500222082</t>
        </is>
      </c>
      <c r="M10" s="13" t="inlineStr"/>
      <c r="N10" s="17" t="inlineStr">
        <is>
          <t>https://www.propertyguru.com.sg/listing/for-sale-ecopolitan-500222082</t>
        </is>
      </c>
    </row>
    <row r="11">
      <c r="A11" s="13" t="n">
        <v>10</v>
      </c>
      <c r="B11" s="13" t="inlineStr">
        <is>
          <t>The Amore</t>
        </is>
      </c>
      <c r="C11" s="13" t="inlineStr">
        <is>
          <t>North-East</t>
        </is>
      </c>
      <c r="D11" s="13" t="inlineStr">
        <is>
          <t>Punggol</t>
        </is>
      </c>
      <c r="E11" s="13" t="inlineStr">
        <is>
          <t>2016</t>
        </is>
      </c>
      <c r="F11" s="13" t="inlineStr">
        <is>
          <t>3 bedrooms</t>
        </is>
      </c>
      <c r="G11" s="14" t="n">
        <v>1001</v>
      </c>
      <c r="H11" s="15" t="n">
        <v>1530000</v>
      </c>
      <c r="I11" s="15">
        <f>H11/G11</f>
        <v/>
      </c>
      <c r="J11" s="13" t="inlineStr">
        <is>
          <t>Oasis LRT, ~310m</t>
        </is>
      </c>
      <c r="K11" s="14" t="n">
        <v>378</v>
      </c>
      <c r="L11" s="13" t="inlineStr">
        <is>
          <t>500196584</t>
        </is>
      </c>
      <c r="M11" s="13" t="inlineStr"/>
      <c r="N11" s="17" t="inlineStr">
        <is>
          <t>https://www.propertyguru.com.sg/listing/for-sale-the-amore-500196584</t>
        </is>
      </c>
    </row>
    <row r="13">
      <c r="A13" s="18" t="inlineStr">
        <is>
          <t>How the Top 10 is chosen: best price per sqft in each development, capped at 4 North, 3 North-East, 1 East, 2 West, with The Topiary always included.</t>
        </is>
      </c>
    </row>
  </sheetData>
  <autoFilter ref="A1:N11"/>
  <hyperlinks>
    <hyperlink xmlns:r="http://schemas.openxmlformats.org/officeDocument/2006/relationships" ref="N2" r:id="rId1"/>
    <hyperlink xmlns:r="http://schemas.openxmlformats.org/officeDocument/2006/relationships" ref="N3" r:id="rId2"/>
    <hyperlink xmlns:r="http://schemas.openxmlformats.org/officeDocument/2006/relationships" ref="N4" r:id="rId3"/>
    <hyperlink xmlns:r="http://schemas.openxmlformats.org/officeDocument/2006/relationships" ref="N5" r:id="rId4"/>
    <hyperlink xmlns:r="http://schemas.openxmlformats.org/officeDocument/2006/relationships" ref="N6" r:id="rId5"/>
    <hyperlink xmlns:r="http://schemas.openxmlformats.org/officeDocument/2006/relationships" ref="N7" r:id="rId6"/>
    <hyperlink xmlns:r="http://schemas.openxmlformats.org/officeDocument/2006/relationships" ref="N8" r:id="rId7"/>
    <hyperlink xmlns:r="http://schemas.openxmlformats.org/officeDocument/2006/relationships" ref="N9" r:id="rId8"/>
    <hyperlink xmlns:r="http://schemas.openxmlformats.org/officeDocument/2006/relationships" ref="N10" r:id="rId9"/>
    <hyperlink xmlns:r="http://schemas.openxmlformats.org/officeDocument/2006/relationships" ref="N11" r:id="rId10"/>
  </hyperlink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6" customWidth="1" min="3" max="3"/>
    <col width="12" customWidth="1" min="4" max="4"/>
    <col width="14" customWidth="1" min="5" max="5"/>
    <col width="12" customWidth="1" min="6" max="6"/>
    <col width="14" customWidth="1" min="7" max="7"/>
    <col width="11" customWidth="1" min="8" max="8"/>
    <col width="14" customWidth="1" min="9" max="9"/>
    <col width="11" customWidth="1" min="10" max="10"/>
    <col width="13" customWidth="1" min="11" max="11"/>
    <col width="46" customWidth="1" min="12" max="12"/>
    <col width="60" customWidth="1" min="13" max="13"/>
  </cols>
  <sheetData>
    <row r="1" ht="32" customHeight="1">
      <c r="A1" s="4" t="inlineStr">
        <is>
          <t>Development</t>
        </is>
      </c>
      <c r="B1" s="4" t="inlineStr">
        <is>
          <t>Zone</t>
        </is>
      </c>
      <c r="C1" s="4" t="inlineStr">
        <is>
          <t>Area</t>
        </is>
      </c>
      <c r="D1" s="4" t="inlineStr">
        <is>
          <t>TOP</t>
        </is>
      </c>
      <c r="E1" s="4" t="inlineStr">
        <is>
          <t>Layout</t>
        </is>
      </c>
      <c r="F1" s="4" t="inlineStr">
        <is>
          <t>Size (sqft)</t>
        </is>
      </c>
      <c r="G1" s="4" t="inlineStr">
        <is>
          <t>Asking (S$)</t>
        </is>
      </c>
      <c r="H1" s="4" t="inlineStr">
        <is>
          <t>PSF (S$)</t>
        </is>
      </c>
      <c r="I1" s="4" t="inlineStr">
        <is>
          <t>Best value in development</t>
        </is>
      </c>
      <c r="J1" s="4" t="inlineStr">
        <is>
          <t>In deck Top 10</t>
        </is>
      </c>
      <c r="K1" s="4" t="inlineStr">
        <is>
          <t>Listing ref</t>
        </is>
      </c>
      <c r="L1" s="4" t="inlineStr">
        <is>
          <t>Check</t>
        </is>
      </c>
      <c r="M1" s="4" t="inlineStr">
        <is>
          <t>PropertyGuru link</t>
        </is>
      </c>
    </row>
    <row r="2">
      <c r="A2" s="5" t="inlineStr">
        <is>
          <t>Bellewoods</t>
        </is>
      </c>
      <c r="B2" s="5" t="inlineStr">
        <is>
          <t>North</t>
        </is>
      </c>
      <c r="C2" s="5" t="inlineStr">
        <is>
          <t>Woodlands</t>
        </is>
      </c>
      <c r="D2" s="5" t="inlineStr">
        <is>
          <t>2017</t>
        </is>
      </c>
      <c r="E2" s="5" t="inlineStr">
        <is>
          <t>3 bedrooms</t>
        </is>
      </c>
      <c r="F2" s="6" t="n">
        <v>1066</v>
      </c>
      <c r="G2" s="7" t="n">
        <v>1490000</v>
      </c>
      <c r="H2" s="7">
        <f>G2/F2</f>
        <v/>
      </c>
      <c r="I2" s="5" t="inlineStr">
        <is>
          <t>Yes</t>
        </is>
      </c>
      <c r="J2" s="5" t="inlineStr"/>
      <c r="K2" s="5" t="inlineStr">
        <is>
          <t>500165618</t>
        </is>
      </c>
      <c r="L2" s="5" t="inlineStr"/>
      <c r="M2" s="8" t="inlineStr">
        <is>
          <t>https://www.propertyguru.com.sg/listing/for-sale-bellewoods-500165618</t>
        </is>
      </c>
    </row>
    <row r="3">
      <c r="A3" s="9" t="inlineStr">
        <is>
          <t>Ecopolitan</t>
        </is>
      </c>
      <c r="B3" s="9" t="inlineStr">
        <is>
          <t>North-East</t>
        </is>
      </c>
      <c r="C3" s="9" t="inlineStr">
        <is>
          <t>Punggol</t>
        </is>
      </c>
      <c r="D3" s="9" t="inlineStr">
        <is>
          <t>2016</t>
        </is>
      </c>
      <c r="E3" s="9" t="inlineStr">
        <is>
          <t>3 bedrooms</t>
        </is>
      </c>
      <c r="F3" s="10" t="n">
        <v>1054</v>
      </c>
      <c r="G3" s="11" t="n">
        <v>1600000</v>
      </c>
      <c r="H3" s="11">
        <f>G3/F3</f>
        <v/>
      </c>
      <c r="I3" s="9" t="inlineStr">
        <is>
          <t>Yes</t>
        </is>
      </c>
      <c r="J3" s="9" t="inlineStr">
        <is>
          <t>Yes</t>
        </is>
      </c>
      <c r="K3" s="9" t="inlineStr">
        <is>
          <t>500222082</t>
        </is>
      </c>
      <c r="L3" s="9" t="inlineStr"/>
      <c r="M3" s="12" t="inlineStr">
        <is>
          <t>https://www.propertyguru.com.sg/listing/for-sale-ecopolitan-500222082</t>
        </is>
      </c>
    </row>
    <row r="4">
      <c r="A4" s="13" t="inlineStr">
        <is>
          <t>Forestville</t>
        </is>
      </c>
      <c r="B4" s="13" t="inlineStr">
        <is>
          <t>North</t>
        </is>
      </c>
      <c r="C4" s="13" t="inlineStr">
        <is>
          <t>Woodlands</t>
        </is>
      </c>
      <c r="D4" s="13" t="inlineStr">
        <is>
          <t>2016</t>
        </is>
      </c>
      <c r="E4" s="13" t="inlineStr">
        <is>
          <t>3 bedrooms</t>
        </is>
      </c>
      <c r="F4" s="14" t="n">
        <v>1066</v>
      </c>
      <c r="G4" s="15" t="n">
        <v>1280000</v>
      </c>
      <c r="H4" s="15">
        <f>G4/F4</f>
        <v/>
      </c>
      <c r="I4" s="13" t="inlineStr"/>
      <c r="J4" s="13" t="inlineStr"/>
      <c r="K4" s="13" t="inlineStr">
        <is>
          <t>25455664</t>
        </is>
      </c>
      <c r="L4" s="16" t="inlineStr">
        <is>
          <t>older listing ID - may be stale</t>
        </is>
      </c>
      <c r="M4" s="17" t="inlineStr">
        <is>
          <t>https://www.propertyguru.com.sg/listing/for-sale-forestville-25455664</t>
        </is>
      </c>
    </row>
    <row r="5">
      <c r="A5" s="13" t="inlineStr">
        <is>
          <t>Forestville</t>
        </is>
      </c>
      <c r="B5" s="13" t="inlineStr">
        <is>
          <t>North</t>
        </is>
      </c>
      <c r="C5" s="13" t="inlineStr">
        <is>
          <t>Woodlands</t>
        </is>
      </c>
      <c r="D5" s="13" t="inlineStr">
        <is>
          <t>2016</t>
        </is>
      </c>
      <c r="E5" s="13" t="inlineStr">
        <is>
          <t>3 bedrooms</t>
        </is>
      </c>
      <c r="F5" s="14" t="n">
        <v>1033</v>
      </c>
      <c r="G5" s="15" t="n">
        <v>1290000</v>
      </c>
      <c r="H5" s="15">
        <f>G5/F5</f>
        <v/>
      </c>
      <c r="I5" s="13" t="inlineStr"/>
      <c r="J5" s="13" t="inlineStr"/>
      <c r="K5" s="13" t="inlineStr">
        <is>
          <t>500213788</t>
        </is>
      </c>
      <c r="L5" s="13" t="inlineStr"/>
      <c r="M5" s="17" t="inlineStr">
        <is>
          <t>https://www.propertyguru.com.sg/listing/for-sale-forestville-500213788</t>
        </is>
      </c>
    </row>
    <row r="6">
      <c r="A6" s="9" t="inlineStr">
        <is>
          <t>Forestville</t>
        </is>
      </c>
      <c r="B6" s="9" t="inlineStr">
        <is>
          <t>North</t>
        </is>
      </c>
      <c r="C6" s="9" t="inlineStr">
        <is>
          <t>Woodlands</t>
        </is>
      </c>
      <c r="D6" s="9" t="inlineStr">
        <is>
          <t>2016</t>
        </is>
      </c>
      <c r="E6" s="9" t="inlineStr">
        <is>
          <t>3 bedrooms</t>
        </is>
      </c>
      <c r="F6" s="10" t="n">
        <v>1066</v>
      </c>
      <c r="G6" s="11" t="n">
        <v>1300000</v>
      </c>
      <c r="H6" s="11">
        <f>G6/F6</f>
        <v/>
      </c>
      <c r="I6" s="9" t="inlineStr">
        <is>
          <t>Yes</t>
        </is>
      </c>
      <c r="J6" s="9" t="inlineStr">
        <is>
          <t>Yes</t>
        </is>
      </c>
      <c r="K6" s="9" t="inlineStr">
        <is>
          <t>500210303</t>
        </is>
      </c>
      <c r="L6" s="9" t="inlineStr"/>
      <c r="M6" s="12" t="inlineStr">
        <is>
          <t>https://www.propertyguru.com.sg/listing/for-sale-forestville-500210303</t>
        </is>
      </c>
    </row>
    <row r="7">
      <c r="A7" s="13" t="inlineStr">
        <is>
          <t>Forestville</t>
        </is>
      </c>
      <c r="B7" s="13" t="inlineStr">
        <is>
          <t>North</t>
        </is>
      </c>
      <c r="C7" s="13" t="inlineStr">
        <is>
          <t>Woodlands</t>
        </is>
      </c>
      <c r="D7" s="13" t="inlineStr">
        <is>
          <t>2016</t>
        </is>
      </c>
      <c r="E7" s="13" t="inlineStr">
        <is>
          <t>3 bedrooms</t>
        </is>
      </c>
      <c r="F7" s="14" t="n">
        <v>1033</v>
      </c>
      <c r="G7" s="15" t="n">
        <v>1300000</v>
      </c>
      <c r="H7" s="15">
        <f>G7/F7</f>
        <v/>
      </c>
      <c r="I7" s="13" t="inlineStr"/>
      <c r="J7" s="13" t="inlineStr"/>
      <c r="K7" s="13" t="inlineStr">
        <is>
          <t>500073495</t>
        </is>
      </c>
      <c r="L7" s="13" t="inlineStr">
        <is>
          <t>high floor</t>
        </is>
      </c>
      <c r="M7" s="17" t="inlineStr">
        <is>
          <t>https://www.propertyguru.com.sg/listing/for-sale-forestville-500073495</t>
        </is>
      </c>
    </row>
    <row r="8">
      <c r="A8" s="13" t="inlineStr">
        <is>
          <t>Forestville</t>
        </is>
      </c>
      <c r="B8" s="13" t="inlineStr">
        <is>
          <t>North</t>
        </is>
      </c>
      <c r="C8" s="13" t="inlineStr">
        <is>
          <t>Woodlands</t>
        </is>
      </c>
      <c r="D8" s="13" t="inlineStr">
        <is>
          <t>2016</t>
        </is>
      </c>
      <c r="E8" s="13" t="inlineStr">
        <is>
          <t>3 bedrooms</t>
        </is>
      </c>
      <c r="F8" s="14" t="n">
        <v>1087</v>
      </c>
      <c r="G8" s="15" t="n">
        <v>1330000</v>
      </c>
      <c r="H8" s="15">
        <f>G8/F8</f>
        <v/>
      </c>
      <c r="I8" s="13" t="inlineStr"/>
      <c r="J8" s="13" t="inlineStr"/>
      <c r="K8" s="13" t="inlineStr">
        <is>
          <t>500234193</t>
        </is>
      </c>
      <c r="L8" s="13" t="inlineStr"/>
      <c r="M8" s="17" t="inlineStr">
        <is>
          <t>https://www.propertyguru.com.sg/listing/for-sale-forestville-500234193</t>
        </is>
      </c>
    </row>
    <row r="9">
      <c r="A9" s="13" t="inlineStr">
        <is>
          <t>Forestville</t>
        </is>
      </c>
      <c r="B9" s="13" t="inlineStr">
        <is>
          <t>North</t>
        </is>
      </c>
      <c r="C9" s="13" t="inlineStr">
        <is>
          <t>Woodlands</t>
        </is>
      </c>
      <c r="D9" s="13" t="inlineStr">
        <is>
          <t>2016</t>
        </is>
      </c>
      <c r="E9" s="13" t="inlineStr">
        <is>
          <t>3 bedrooms</t>
        </is>
      </c>
      <c r="F9" s="14" t="n">
        <v>1348</v>
      </c>
      <c r="G9" s="15" t="n">
        <v>1508888</v>
      </c>
      <c r="H9" s="15">
        <f>G9/F9</f>
        <v/>
      </c>
      <c r="I9" s="13" t="inlineStr"/>
      <c r="J9" s="13" t="inlineStr"/>
      <c r="K9" s="13" t="inlineStr">
        <is>
          <t>25362802</t>
        </is>
      </c>
      <c r="L9" s="16" t="inlineStr">
        <is>
          <t>older listing ID - may be stale</t>
        </is>
      </c>
      <c r="M9" s="17" t="inlineStr">
        <is>
          <t>https://www.propertyguru.com.sg/listing/for-sale-forestville-25362802</t>
        </is>
      </c>
    </row>
    <row r="10">
      <c r="A10" s="9" t="inlineStr">
        <is>
          <t>Lake Life</t>
        </is>
      </c>
      <c r="B10" s="9" t="inlineStr">
        <is>
          <t>West</t>
        </is>
      </c>
      <c r="C10" s="9" t="inlineStr">
        <is>
          <t>Jurong West</t>
        </is>
      </c>
      <c r="D10" s="9" t="inlineStr">
        <is>
          <t>2016</t>
        </is>
      </c>
      <c r="E10" s="9" t="inlineStr">
        <is>
          <t>3 bedrooms</t>
        </is>
      </c>
      <c r="F10" s="10" t="n">
        <v>1023</v>
      </c>
      <c r="G10" s="11" t="n">
        <v>1491300</v>
      </c>
      <c r="H10" s="11">
        <f>G10/F10</f>
        <v/>
      </c>
      <c r="I10" s="9" t="inlineStr">
        <is>
          <t>Yes</t>
        </is>
      </c>
      <c r="J10" s="9" t="inlineStr">
        <is>
          <t>Yes</t>
        </is>
      </c>
      <c r="K10" s="9" t="inlineStr">
        <is>
          <t>500033581</t>
        </is>
      </c>
      <c r="L10" s="9" t="inlineStr"/>
      <c r="M10" s="12" t="inlineStr">
        <is>
          <t>https://www.propertyguru.com.sg/listing/for-sale-lake-life-500033581</t>
        </is>
      </c>
    </row>
    <row r="11">
      <c r="A11" s="13" t="inlineStr">
        <is>
          <t>Lake Life</t>
        </is>
      </c>
      <c r="B11" s="13" t="inlineStr">
        <is>
          <t>West</t>
        </is>
      </c>
      <c r="C11" s="13" t="inlineStr">
        <is>
          <t>Jurong West</t>
        </is>
      </c>
      <c r="D11" s="13" t="inlineStr">
        <is>
          <t>2016</t>
        </is>
      </c>
      <c r="E11" s="13" t="inlineStr">
        <is>
          <t>3 bedrooms</t>
        </is>
      </c>
      <c r="F11" s="14" t="n">
        <v>1033</v>
      </c>
      <c r="G11" s="15" t="n">
        <v>1500000</v>
      </c>
      <c r="H11" s="15">
        <f>G11/F11</f>
        <v/>
      </c>
      <c r="I11" s="13" t="inlineStr"/>
      <c r="J11" s="13" t="inlineStr"/>
      <c r="K11" s="13" t="inlineStr">
        <is>
          <t>25567279</t>
        </is>
      </c>
      <c r="L11" s="16" t="inlineStr">
        <is>
          <t>older listing ID - may be stale</t>
        </is>
      </c>
      <c r="M11" s="17" t="inlineStr">
        <is>
          <t>https://www.propertyguru.com.sg/listing/for-sale-lake-life-25567279</t>
        </is>
      </c>
    </row>
    <row r="12">
      <c r="A12" s="13" t="inlineStr">
        <is>
          <t>Lake Life</t>
        </is>
      </c>
      <c r="B12" s="13" t="inlineStr">
        <is>
          <t>West</t>
        </is>
      </c>
      <c r="C12" s="13" t="inlineStr">
        <is>
          <t>Jurong West</t>
        </is>
      </c>
      <c r="D12" s="13" t="inlineStr">
        <is>
          <t>2016</t>
        </is>
      </c>
      <c r="E12" s="13" t="inlineStr">
        <is>
          <t>3 bedrooms</t>
        </is>
      </c>
      <c r="F12" s="14" t="n">
        <v>1023</v>
      </c>
      <c r="G12" s="15" t="n">
        <v>1580000</v>
      </c>
      <c r="H12" s="15">
        <f>G12/F12</f>
        <v/>
      </c>
      <c r="I12" s="13" t="inlineStr"/>
      <c r="J12" s="13" t="inlineStr"/>
      <c r="K12" s="13" t="inlineStr">
        <is>
          <t>60132621</t>
        </is>
      </c>
      <c r="L12" s="16" t="inlineStr">
        <is>
          <t>older listing ID - may be stale</t>
        </is>
      </c>
      <c r="M12" s="17" t="inlineStr">
        <is>
          <t>https://www.propertyguru.com.sg/listing/for-sale-lake-life-60132621</t>
        </is>
      </c>
    </row>
    <row r="13">
      <c r="A13" s="9" t="inlineStr">
        <is>
          <t>Northwave</t>
        </is>
      </c>
      <c r="B13" s="9" t="inlineStr">
        <is>
          <t>North</t>
        </is>
      </c>
      <c r="C13" s="9" t="inlineStr">
        <is>
          <t>Woodlands</t>
        </is>
      </c>
      <c r="D13" s="9" t="inlineStr">
        <is>
          <t>2019</t>
        </is>
      </c>
      <c r="E13" s="9" t="inlineStr">
        <is>
          <t>3 bedrooms</t>
        </is>
      </c>
      <c r="F13" s="10" t="n">
        <v>1098</v>
      </c>
      <c r="G13" s="11" t="n">
        <v>1360000</v>
      </c>
      <c r="H13" s="11">
        <f>G13/F13</f>
        <v/>
      </c>
      <c r="I13" s="9" t="inlineStr">
        <is>
          <t>Yes</t>
        </is>
      </c>
      <c r="J13" s="9" t="inlineStr">
        <is>
          <t>Yes</t>
        </is>
      </c>
      <c r="K13" s="9" t="inlineStr">
        <is>
          <t>500112362</t>
        </is>
      </c>
      <c r="L13" s="9" t="inlineStr"/>
      <c r="M13" s="12" t="inlineStr">
        <is>
          <t>https://www.propertyguru.com.sg/listing/for-sale-northwave-ec-500112362</t>
        </is>
      </c>
    </row>
    <row r="14">
      <c r="A14" s="13" t="inlineStr">
        <is>
          <t>Northwave</t>
        </is>
      </c>
      <c r="B14" s="13" t="inlineStr">
        <is>
          <t>North</t>
        </is>
      </c>
      <c r="C14" s="13" t="inlineStr">
        <is>
          <t>Woodlands</t>
        </is>
      </c>
      <c r="D14" s="13" t="inlineStr">
        <is>
          <t>2019</t>
        </is>
      </c>
      <c r="E14" s="13" t="inlineStr">
        <is>
          <t>3 bedrooms</t>
        </is>
      </c>
      <c r="F14" s="14" t="n">
        <v>1097</v>
      </c>
      <c r="G14" s="15" t="n">
        <v>1500000</v>
      </c>
      <c r="H14" s="15">
        <f>G14/F14</f>
        <v/>
      </c>
      <c r="I14" s="13" t="inlineStr"/>
      <c r="J14" s="13" t="inlineStr"/>
      <c r="K14" s="13" t="inlineStr">
        <is>
          <t>60175231</t>
        </is>
      </c>
      <c r="L14" s="16" t="inlineStr">
        <is>
          <t>older listing ID - may be stale</t>
        </is>
      </c>
      <c r="M14" s="17" t="inlineStr">
        <is>
          <t>https://www.propertyguru.com.sg/listing/for-sale-northwave-ec-60175231</t>
        </is>
      </c>
    </row>
    <row r="15">
      <c r="A15" s="13" t="inlineStr">
        <is>
          <t>Northwave</t>
        </is>
      </c>
      <c r="B15" s="13" t="inlineStr">
        <is>
          <t>North</t>
        </is>
      </c>
      <c r="C15" s="13" t="inlineStr">
        <is>
          <t>Woodlands</t>
        </is>
      </c>
      <c r="D15" s="13" t="inlineStr">
        <is>
          <t>2019</t>
        </is>
      </c>
      <c r="E15" s="13" t="inlineStr">
        <is>
          <t>3 + study</t>
        </is>
      </c>
      <c r="F15" s="14" t="n">
        <v>1270</v>
      </c>
      <c r="G15" s="15" t="n">
        <v>1600000</v>
      </c>
      <c r="H15" s="15">
        <f>G15/F15</f>
        <v/>
      </c>
      <c r="I15" s="13" t="inlineStr"/>
      <c r="J15" s="13" t="inlineStr"/>
      <c r="K15" s="13" t="inlineStr">
        <is>
          <t>60047599</t>
        </is>
      </c>
      <c r="L15" s="16" t="inlineStr">
        <is>
          <t>listed as 4-bed; June reads it as 3 + study; pool-facing patio unit; older listing ID</t>
        </is>
      </c>
      <c r="M15" s="17" t="inlineStr">
        <is>
          <t>https://www.propertyguru.com.sg/listing/for-sale-northwave-ec-60047599</t>
        </is>
      </c>
    </row>
    <row r="16">
      <c r="A16" s="5" t="inlineStr">
        <is>
          <t>Parc Life</t>
        </is>
      </c>
      <c r="B16" s="5" t="inlineStr">
        <is>
          <t>North</t>
        </is>
      </c>
      <c r="C16" s="5" t="inlineStr">
        <is>
          <t>Sembawang</t>
        </is>
      </c>
      <c r="D16" s="5" t="inlineStr">
        <is>
          <t>2018</t>
        </is>
      </c>
      <c r="E16" s="5" t="inlineStr">
        <is>
          <t>3 bedrooms</t>
        </is>
      </c>
      <c r="F16" s="6" t="n">
        <v>1066</v>
      </c>
      <c r="G16" s="7" t="n">
        <v>1450000</v>
      </c>
      <c r="H16" s="7">
        <f>G16/F16</f>
        <v/>
      </c>
      <c r="I16" s="5" t="inlineStr">
        <is>
          <t>Yes</t>
        </is>
      </c>
      <c r="J16" s="5" t="inlineStr"/>
      <c r="K16" s="5" t="inlineStr">
        <is>
          <t>500158569</t>
        </is>
      </c>
      <c r="L16" s="5" t="inlineStr"/>
      <c r="M16" s="8" t="inlineStr">
        <is>
          <t>https://www.propertyguru.com.sg/listing/for-sale-parc-life-500158569</t>
        </is>
      </c>
    </row>
    <row r="17">
      <c r="A17" s="13" t="inlineStr">
        <is>
          <t>Parc Life</t>
        </is>
      </c>
      <c r="B17" s="13" t="inlineStr">
        <is>
          <t>North</t>
        </is>
      </c>
      <c r="C17" s="13" t="inlineStr">
        <is>
          <t>Sembawang</t>
        </is>
      </c>
      <c r="D17" s="13" t="inlineStr">
        <is>
          <t>2018</t>
        </is>
      </c>
      <c r="E17" s="13" t="inlineStr">
        <is>
          <t>3 bedrooms</t>
        </is>
      </c>
      <c r="F17" s="14" t="n">
        <v>1001</v>
      </c>
      <c r="G17" s="15" t="n">
        <v>1450000</v>
      </c>
      <c r="H17" s="15">
        <f>G17/F17</f>
        <v/>
      </c>
      <c r="I17" s="13" t="inlineStr"/>
      <c r="J17" s="13" t="inlineStr"/>
      <c r="K17" s="13" t="inlineStr">
        <is>
          <t>500268300</t>
        </is>
      </c>
      <c r="L17" s="13" t="inlineStr">
        <is>
          <t>corner unit</t>
        </is>
      </c>
      <c r="M17" s="17" t="inlineStr">
        <is>
          <t>https://www.propertyguru.com.sg/listing/for-sale-parc-life-500268300</t>
        </is>
      </c>
    </row>
    <row r="18">
      <c r="A18" s="13" t="inlineStr">
        <is>
          <t>Parc Life</t>
        </is>
      </c>
      <c r="B18" s="13" t="inlineStr">
        <is>
          <t>North</t>
        </is>
      </c>
      <c r="C18" s="13" t="inlineStr">
        <is>
          <t>Sembawang</t>
        </is>
      </c>
      <c r="D18" s="13" t="inlineStr">
        <is>
          <t>2018</t>
        </is>
      </c>
      <c r="E18" s="13" t="inlineStr">
        <is>
          <t>3 bedrooms</t>
        </is>
      </c>
      <c r="F18" s="14" t="n">
        <v>1066</v>
      </c>
      <c r="G18" s="15" t="n">
        <v>1499999</v>
      </c>
      <c r="H18" s="15">
        <f>G18/F18</f>
        <v/>
      </c>
      <c r="I18" s="13" t="inlineStr"/>
      <c r="J18" s="13" t="inlineStr"/>
      <c r="K18" s="13" t="inlineStr">
        <is>
          <t>500214081</t>
        </is>
      </c>
      <c r="L18" s="13" t="inlineStr"/>
      <c r="M18" s="17" t="inlineStr">
        <is>
          <t>https://www.propertyguru.com.sg/listing/for-sale-parc-life-500214081</t>
        </is>
      </c>
    </row>
    <row r="19">
      <c r="A19" s="13" t="inlineStr">
        <is>
          <t>Parc Life</t>
        </is>
      </c>
      <c r="B19" s="13" t="inlineStr">
        <is>
          <t>North</t>
        </is>
      </c>
      <c r="C19" s="13" t="inlineStr">
        <is>
          <t>Sembawang</t>
        </is>
      </c>
      <c r="D19" s="13" t="inlineStr">
        <is>
          <t>2018</t>
        </is>
      </c>
      <c r="E19" s="13" t="inlineStr">
        <is>
          <t>3 bedrooms</t>
        </is>
      </c>
      <c r="F19" s="14" t="n">
        <v>1066</v>
      </c>
      <c r="G19" s="15" t="n">
        <v>1508888</v>
      </c>
      <c r="H19" s="15">
        <f>G19/F19</f>
        <v/>
      </c>
      <c r="I19" s="13" t="inlineStr"/>
      <c r="J19" s="13" t="inlineStr"/>
      <c r="K19" s="13" t="inlineStr">
        <is>
          <t>500073244</t>
        </is>
      </c>
      <c r="L19" s="13" t="inlineStr"/>
      <c r="M19" s="17" t="inlineStr">
        <is>
          <t>https://www.propertyguru.com.sg/listing/for-sale-parc-life-500073244</t>
        </is>
      </c>
    </row>
    <row r="20">
      <c r="A20" s="13" t="inlineStr">
        <is>
          <t>Parc Life</t>
        </is>
      </c>
      <c r="B20" s="13" t="inlineStr">
        <is>
          <t>North</t>
        </is>
      </c>
      <c r="C20" s="13" t="inlineStr">
        <is>
          <t>Sembawang</t>
        </is>
      </c>
      <c r="D20" s="13" t="inlineStr">
        <is>
          <t>2018</t>
        </is>
      </c>
      <c r="E20" s="13" t="inlineStr">
        <is>
          <t>3 bedrooms</t>
        </is>
      </c>
      <c r="F20" s="14" t="n">
        <v>1066</v>
      </c>
      <c r="G20" s="15" t="n">
        <v>1548888</v>
      </c>
      <c r="H20" s="15">
        <f>G20/F20</f>
        <v/>
      </c>
      <c r="I20" s="13" t="inlineStr"/>
      <c r="J20" s="13" t="inlineStr"/>
      <c r="K20" s="13" t="inlineStr">
        <is>
          <t>500076102</t>
        </is>
      </c>
      <c r="L20" s="13" t="inlineStr"/>
      <c r="M20" s="17" t="inlineStr">
        <is>
          <t>https://www.propertyguru.com.sg/listing/for-sale-parc-life-500076102</t>
        </is>
      </c>
    </row>
    <row r="21">
      <c r="A21" s="13" t="inlineStr">
        <is>
          <t>Parc Life</t>
        </is>
      </c>
      <c r="B21" s="13" t="inlineStr">
        <is>
          <t>North</t>
        </is>
      </c>
      <c r="C21" s="13" t="inlineStr">
        <is>
          <t>Sembawang</t>
        </is>
      </c>
      <c r="D21" s="13" t="inlineStr">
        <is>
          <t>2018</t>
        </is>
      </c>
      <c r="E21" s="13" t="inlineStr">
        <is>
          <t>3 bedrooms</t>
        </is>
      </c>
      <c r="F21" s="14" t="n">
        <v>1109</v>
      </c>
      <c r="G21" s="15" t="n">
        <v>1569000</v>
      </c>
      <c r="H21" s="15">
        <f>G21/F21</f>
        <v/>
      </c>
      <c r="I21" s="13" t="inlineStr"/>
      <c r="J21" s="13" t="inlineStr"/>
      <c r="K21" s="13" t="inlineStr">
        <is>
          <t>500257739</t>
        </is>
      </c>
      <c r="L21" s="13" t="inlineStr">
        <is>
          <t>mid floor</t>
        </is>
      </c>
      <c r="M21" s="17" t="inlineStr">
        <is>
          <t>https://www.propertyguru.com.sg/listing/for-sale-parc-life-500257739</t>
        </is>
      </c>
    </row>
    <row r="22">
      <c r="A22" s="13" t="inlineStr">
        <is>
          <t>Parc Life</t>
        </is>
      </c>
      <c r="B22" s="13" t="inlineStr">
        <is>
          <t>North</t>
        </is>
      </c>
      <c r="C22" s="13" t="inlineStr">
        <is>
          <t>Sembawang</t>
        </is>
      </c>
      <c r="D22" s="13" t="inlineStr">
        <is>
          <t>2018</t>
        </is>
      </c>
      <c r="E22" s="13" t="inlineStr">
        <is>
          <t>3 bedrooms</t>
        </is>
      </c>
      <c r="F22" s="14" t="n">
        <v>1109</v>
      </c>
      <c r="G22" s="15" t="n">
        <v>1570000</v>
      </c>
      <c r="H22" s="15">
        <f>G22/F22</f>
        <v/>
      </c>
      <c r="I22" s="13" t="inlineStr"/>
      <c r="J22" s="13" t="inlineStr"/>
      <c r="K22" s="13" t="inlineStr">
        <is>
          <t>60080826</t>
        </is>
      </c>
      <c r="L22" s="16" t="inlineStr">
        <is>
          <t>older listing ID - may be stale</t>
        </is>
      </c>
      <c r="M22" s="17" t="inlineStr">
        <is>
          <t>https://www.propertyguru.com.sg/listing/for-sale-parc-life-60080826</t>
        </is>
      </c>
    </row>
    <row r="23">
      <c r="A23" s="13" t="inlineStr">
        <is>
          <t>Sea Horizon</t>
        </is>
      </c>
      <c r="B23" s="13" t="inlineStr">
        <is>
          <t>East</t>
        </is>
      </c>
      <c r="C23" s="13" t="inlineStr">
        <is>
          <t>Pasir Ris</t>
        </is>
      </c>
      <c r="D23" s="13" t="inlineStr">
        <is>
          <t>2016</t>
        </is>
      </c>
      <c r="E23" s="13" t="inlineStr">
        <is>
          <t>3 bedrooms</t>
        </is>
      </c>
      <c r="F23" s="14" t="n">
        <v>1098</v>
      </c>
      <c r="G23" s="15" t="n">
        <v>1388000</v>
      </c>
      <c r="H23" s="15">
        <f>G23/F23</f>
        <v/>
      </c>
      <c r="I23" s="13" t="inlineStr"/>
      <c r="J23" s="13" t="inlineStr"/>
      <c r="K23" s="13" t="inlineStr">
        <is>
          <t>500090163</t>
        </is>
      </c>
      <c r="L23" s="13" t="inlineStr"/>
      <c r="M23" s="17" t="inlineStr">
        <is>
          <t>https://www.propertyguru.com.sg/listing/for-sale-sea-horizon-500090163</t>
        </is>
      </c>
    </row>
    <row r="24">
      <c r="A24" s="9" t="inlineStr">
        <is>
          <t>Sea Horizon</t>
        </is>
      </c>
      <c r="B24" s="9" t="inlineStr">
        <is>
          <t>East</t>
        </is>
      </c>
      <c r="C24" s="9" t="inlineStr">
        <is>
          <t>Pasir Ris</t>
        </is>
      </c>
      <c r="D24" s="9" t="inlineStr">
        <is>
          <t>2016</t>
        </is>
      </c>
      <c r="E24" s="9" t="inlineStr">
        <is>
          <t>3 bedrooms</t>
        </is>
      </c>
      <c r="F24" s="10" t="n">
        <v>1109</v>
      </c>
      <c r="G24" s="11" t="n">
        <v>1400000</v>
      </c>
      <c r="H24" s="11">
        <f>G24/F24</f>
        <v/>
      </c>
      <c r="I24" s="9" t="inlineStr">
        <is>
          <t>Yes</t>
        </is>
      </c>
      <c r="J24" s="9" t="inlineStr">
        <is>
          <t>Yes</t>
        </is>
      </c>
      <c r="K24" s="9" t="inlineStr">
        <is>
          <t>500229700</t>
        </is>
      </c>
      <c r="L24" s="9" t="inlineStr"/>
      <c r="M24" s="12" t="inlineStr">
        <is>
          <t>https://www.propertyguru.com.sg/listing/for-sale-sea-horizon-500229700</t>
        </is>
      </c>
    </row>
    <row r="25">
      <c r="A25" s="13" t="inlineStr">
        <is>
          <t>Sea Horizon</t>
        </is>
      </c>
      <c r="B25" s="13" t="inlineStr">
        <is>
          <t>East</t>
        </is>
      </c>
      <c r="C25" s="13" t="inlineStr">
        <is>
          <t>Pasir Ris</t>
        </is>
      </c>
      <c r="D25" s="13" t="inlineStr">
        <is>
          <t>2016</t>
        </is>
      </c>
      <c r="E25" s="13" t="inlineStr">
        <is>
          <t>3 bedrooms</t>
        </is>
      </c>
      <c r="F25" s="14" t="n">
        <v>1109</v>
      </c>
      <c r="G25" s="15" t="n">
        <v>1450000</v>
      </c>
      <c r="H25" s="15">
        <f>G25/F25</f>
        <v/>
      </c>
      <c r="I25" s="13" t="inlineStr"/>
      <c r="J25" s="13" t="inlineStr"/>
      <c r="K25" s="13" t="inlineStr">
        <is>
          <t>500207797</t>
        </is>
      </c>
      <c r="L25" s="13" t="inlineStr"/>
      <c r="M25" s="17" t="inlineStr">
        <is>
          <t>https://www.propertyguru.com.sg/listing/for-sale-sea-horizon-500207797</t>
        </is>
      </c>
    </row>
    <row r="26">
      <c r="A26" s="13" t="inlineStr">
        <is>
          <t>Sea Horizon</t>
        </is>
      </c>
      <c r="B26" s="13" t="inlineStr">
        <is>
          <t>East</t>
        </is>
      </c>
      <c r="C26" s="13" t="inlineStr">
        <is>
          <t>Pasir Ris</t>
        </is>
      </c>
      <c r="D26" s="13" t="inlineStr">
        <is>
          <t>2016</t>
        </is>
      </c>
      <c r="E26" s="13" t="inlineStr">
        <is>
          <t>3 bedrooms</t>
        </is>
      </c>
      <c r="F26" s="14" t="n">
        <v>1066</v>
      </c>
      <c r="G26" s="15" t="n">
        <v>1550000</v>
      </c>
      <c r="H26" s="15">
        <f>G26/F26</f>
        <v/>
      </c>
      <c r="I26" s="13" t="inlineStr"/>
      <c r="J26" s="13" t="inlineStr"/>
      <c r="K26" s="13" t="inlineStr">
        <is>
          <t>500100852</t>
        </is>
      </c>
      <c r="L26" s="13" t="inlineStr"/>
      <c r="M26" s="17" t="inlineStr">
        <is>
          <t>https://www.propertyguru.com.sg/listing/for-sale-sea-horizon-500100852</t>
        </is>
      </c>
    </row>
    <row r="27">
      <c r="A27" s="13" t="inlineStr">
        <is>
          <t>Sea Horizon</t>
        </is>
      </c>
      <c r="B27" s="13" t="inlineStr">
        <is>
          <t>East</t>
        </is>
      </c>
      <c r="C27" s="13" t="inlineStr">
        <is>
          <t>Pasir Ris</t>
        </is>
      </c>
      <c r="D27" s="13" t="inlineStr">
        <is>
          <t>2016</t>
        </is>
      </c>
      <c r="E27" s="13" t="inlineStr">
        <is>
          <t>3 bedrooms</t>
        </is>
      </c>
      <c r="F27" s="14" t="n">
        <v>1152</v>
      </c>
      <c r="G27" s="15" t="n">
        <v>1550000</v>
      </c>
      <c r="H27" s="15">
        <f>G27/F27</f>
        <v/>
      </c>
      <c r="I27" s="13" t="inlineStr"/>
      <c r="J27" s="13" t="inlineStr"/>
      <c r="K27" s="13" t="inlineStr">
        <is>
          <t>500223553</t>
        </is>
      </c>
      <c r="L27" s="13" t="inlineStr"/>
      <c r="M27" s="17" t="inlineStr">
        <is>
          <t>https://www.propertyguru.com.sg/listing/for-sale-sea-horizon-500223553</t>
        </is>
      </c>
    </row>
    <row r="28">
      <c r="A28" s="13" t="inlineStr">
        <is>
          <t>Sea Horizon</t>
        </is>
      </c>
      <c r="B28" s="13" t="inlineStr">
        <is>
          <t>East</t>
        </is>
      </c>
      <c r="C28" s="13" t="inlineStr">
        <is>
          <t>Pasir Ris</t>
        </is>
      </c>
      <c r="D28" s="13" t="inlineStr">
        <is>
          <t>2016</t>
        </is>
      </c>
      <c r="E28" s="13" t="inlineStr">
        <is>
          <t>3 bedrooms</t>
        </is>
      </c>
      <c r="F28" s="14" t="n">
        <v>1130</v>
      </c>
      <c r="G28" s="15" t="n">
        <v>1580000</v>
      </c>
      <c r="H28" s="15">
        <f>G28/F28</f>
        <v/>
      </c>
      <c r="I28" s="13" t="inlineStr"/>
      <c r="J28" s="13" t="inlineStr"/>
      <c r="K28" s="13" t="inlineStr">
        <is>
          <t>500270682</t>
        </is>
      </c>
      <c r="L28" s="13" t="inlineStr"/>
      <c r="M28" s="17" t="inlineStr">
        <is>
          <t>https://www.propertyguru.com.sg/listing/for-sale-sea-horizon-500270682</t>
        </is>
      </c>
    </row>
    <row r="29">
      <c r="A29" s="9" t="inlineStr">
        <is>
          <t>Signature at Yishun</t>
        </is>
      </c>
      <c r="B29" s="9" t="inlineStr">
        <is>
          <t>North</t>
        </is>
      </c>
      <c r="C29" s="9" t="inlineStr">
        <is>
          <t>Yishun</t>
        </is>
      </c>
      <c r="D29" s="9" t="inlineStr">
        <is>
          <t>2017</t>
        </is>
      </c>
      <c r="E29" s="9" t="inlineStr">
        <is>
          <t>3 bedrooms</t>
        </is>
      </c>
      <c r="F29" s="10" t="n">
        <v>1098</v>
      </c>
      <c r="G29" s="11" t="n">
        <v>1300000</v>
      </c>
      <c r="H29" s="11">
        <f>G29/F29</f>
        <v/>
      </c>
      <c r="I29" s="9" t="inlineStr">
        <is>
          <t>Yes</t>
        </is>
      </c>
      <c r="J29" s="9" t="inlineStr">
        <is>
          <t>Yes</t>
        </is>
      </c>
      <c r="K29" s="9" t="inlineStr">
        <is>
          <t>500040599</t>
        </is>
      </c>
      <c r="L29" s="9" t="inlineStr">
        <is>
          <t>size matched from search summary</t>
        </is>
      </c>
      <c r="M29" s="12" t="inlineStr">
        <is>
          <t>https://www.propertyguru.com.sg/listing/for-sale-signature-at-yishun-500040599</t>
        </is>
      </c>
    </row>
    <row r="30">
      <c r="A30" s="13" t="inlineStr">
        <is>
          <t>Signature at Yishun</t>
        </is>
      </c>
      <c r="B30" s="13" t="inlineStr">
        <is>
          <t>North</t>
        </is>
      </c>
      <c r="C30" s="13" t="inlineStr">
        <is>
          <t>Yishun</t>
        </is>
      </c>
      <c r="D30" s="13" t="inlineStr">
        <is>
          <t>2017</t>
        </is>
      </c>
      <c r="E30" s="13" t="inlineStr">
        <is>
          <t>3 bedrooms</t>
        </is>
      </c>
      <c r="F30" s="14" t="n">
        <v>1098</v>
      </c>
      <c r="G30" s="15" t="n">
        <v>1340000</v>
      </c>
      <c r="H30" s="15">
        <f>G30/F30</f>
        <v/>
      </c>
      <c r="I30" s="13" t="inlineStr"/>
      <c r="J30" s="13" t="inlineStr"/>
      <c r="K30" s="13" t="inlineStr">
        <is>
          <t>500006219</t>
        </is>
      </c>
      <c r="L30" s="13" t="inlineStr">
        <is>
          <t>size matched from search summary</t>
        </is>
      </c>
      <c r="M30" s="17" t="inlineStr">
        <is>
          <t>https://www.propertyguru.com.sg/listing/for-sale-signature-at-yishun-500006219</t>
        </is>
      </c>
    </row>
    <row r="31">
      <c r="A31" s="13" t="inlineStr">
        <is>
          <t>Signature at Yishun</t>
        </is>
      </c>
      <c r="B31" s="13" t="inlineStr">
        <is>
          <t>North</t>
        </is>
      </c>
      <c r="C31" s="13" t="inlineStr">
        <is>
          <t>Yishun</t>
        </is>
      </c>
      <c r="D31" s="13" t="inlineStr">
        <is>
          <t>2017</t>
        </is>
      </c>
      <c r="E31" s="13" t="inlineStr">
        <is>
          <t>3 bedrooms</t>
        </is>
      </c>
      <c r="F31" s="14" t="n">
        <v>1098</v>
      </c>
      <c r="G31" s="15" t="n">
        <v>1600000</v>
      </c>
      <c r="H31" s="15">
        <f>G31/F31</f>
        <v/>
      </c>
      <c r="I31" s="13" t="inlineStr"/>
      <c r="J31" s="13" t="inlineStr"/>
      <c r="K31" s="13" t="inlineStr">
        <is>
          <t>500275548</t>
        </is>
      </c>
      <c r="L31" s="13" t="inlineStr">
        <is>
          <t>size matched from search summary</t>
        </is>
      </c>
      <c r="M31" s="17" t="inlineStr">
        <is>
          <t>https://www.propertyguru.com.sg/listing/for-sale-signature-at-yishun-500275548</t>
        </is>
      </c>
    </row>
    <row r="32">
      <c r="A32" s="13" t="inlineStr">
        <is>
          <t>Sol Acres</t>
        </is>
      </c>
      <c r="B32" s="13" t="inlineStr">
        <is>
          <t>West</t>
        </is>
      </c>
      <c r="C32" s="13" t="inlineStr">
        <is>
          <t>Choa Chu Kang</t>
        </is>
      </c>
      <c r="D32" s="13" t="inlineStr">
        <is>
          <t>2018</t>
        </is>
      </c>
      <c r="E32" s="13" t="inlineStr">
        <is>
          <t>3 bedrooms</t>
        </is>
      </c>
      <c r="F32" s="14" t="n">
        <v>1044</v>
      </c>
      <c r="G32" s="15" t="n">
        <v>1599000</v>
      </c>
      <c r="H32" s="15">
        <f>G32/F32</f>
        <v/>
      </c>
      <c r="I32" s="13" t="inlineStr"/>
      <c r="J32" s="13" t="inlineStr"/>
      <c r="K32" s="13" t="inlineStr">
        <is>
          <t>500267374</t>
        </is>
      </c>
      <c r="L32" s="13" t="inlineStr"/>
      <c r="M32" s="17" t="inlineStr">
        <is>
          <t>https://www.propertyguru.com.sg/listing/for-sale-sol-acres-500267374</t>
        </is>
      </c>
    </row>
    <row r="33">
      <c r="A33" s="5" t="inlineStr">
        <is>
          <t>Sol Acres</t>
        </is>
      </c>
      <c r="B33" s="5" t="inlineStr">
        <is>
          <t>West</t>
        </is>
      </c>
      <c r="C33" s="5" t="inlineStr">
        <is>
          <t>Choa Chu Kang</t>
        </is>
      </c>
      <c r="D33" s="5" t="inlineStr">
        <is>
          <t>2018</t>
        </is>
      </c>
      <c r="E33" s="5" t="inlineStr">
        <is>
          <t>3 bedrooms</t>
        </is>
      </c>
      <c r="F33" s="6" t="n">
        <v>1066</v>
      </c>
      <c r="G33" s="7" t="n">
        <v>1599000</v>
      </c>
      <c r="H33" s="7">
        <f>G33/F33</f>
        <v/>
      </c>
      <c r="I33" s="5" t="inlineStr">
        <is>
          <t>Yes</t>
        </is>
      </c>
      <c r="J33" s="5" t="inlineStr"/>
      <c r="K33" s="5" t="inlineStr">
        <is>
          <t>500235197</t>
        </is>
      </c>
      <c r="L33" s="5" t="inlineStr">
        <is>
          <t>low floor; pool view</t>
        </is>
      </c>
      <c r="M33" s="8" t="inlineStr">
        <is>
          <t>https://www.propertyguru.com.sg/listing/for-sale-sol-acres-500235197</t>
        </is>
      </c>
    </row>
    <row r="34">
      <c r="A34" s="13" t="inlineStr">
        <is>
          <t>The Amore</t>
        </is>
      </c>
      <c r="B34" s="13" t="inlineStr">
        <is>
          <t>North-East</t>
        </is>
      </c>
      <c r="C34" s="13" t="inlineStr">
        <is>
          <t>Punggol</t>
        </is>
      </c>
      <c r="D34" s="13" t="inlineStr">
        <is>
          <t>2016</t>
        </is>
      </c>
      <c r="E34" s="13" t="inlineStr">
        <is>
          <t>3 bedrooms</t>
        </is>
      </c>
      <c r="F34" s="14" t="n">
        <v>1001</v>
      </c>
      <c r="G34" s="15" t="n">
        <v>1510000</v>
      </c>
      <c r="H34" s="15">
        <f>G34/F34</f>
        <v/>
      </c>
      <c r="I34" s="13" t="inlineStr"/>
      <c r="J34" s="13" t="inlineStr"/>
      <c r="K34" s="13" t="inlineStr">
        <is>
          <t>24007923</t>
        </is>
      </c>
      <c r="L34" s="16" t="inlineStr">
        <is>
          <t>older listing ID - may be stale</t>
        </is>
      </c>
      <c r="M34" s="17" t="inlineStr">
        <is>
          <t>https://www.propertyguru.com.sg/listing/for-sale-the-amore-24007923</t>
        </is>
      </c>
    </row>
    <row r="35">
      <c r="A35" s="9" t="inlineStr">
        <is>
          <t>The Amore</t>
        </is>
      </c>
      <c r="B35" s="9" t="inlineStr">
        <is>
          <t>North-East</t>
        </is>
      </c>
      <c r="C35" s="9" t="inlineStr">
        <is>
          <t>Punggol</t>
        </is>
      </c>
      <c r="D35" s="9" t="inlineStr">
        <is>
          <t>2016</t>
        </is>
      </c>
      <c r="E35" s="9" t="inlineStr">
        <is>
          <t>3 bedrooms</t>
        </is>
      </c>
      <c r="F35" s="10" t="n">
        <v>1001</v>
      </c>
      <c r="G35" s="11" t="n">
        <v>1530000</v>
      </c>
      <c r="H35" s="11">
        <f>G35/F35</f>
        <v/>
      </c>
      <c r="I35" s="9" t="inlineStr">
        <is>
          <t>Yes</t>
        </is>
      </c>
      <c r="J35" s="9" t="inlineStr">
        <is>
          <t>Yes</t>
        </is>
      </c>
      <c r="K35" s="9" t="inlineStr">
        <is>
          <t>500196584</t>
        </is>
      </c>
      <c r="L35" s="9" t="inlineStr"/>
      <c r="M35" s="12" t="inlineStr">
        <is>
          <t>https://www.propertyguru.com.sg/listing/for-sale-the-amore-500196584</t>
        </is>
      </c>
    </row>
    <row r="36">
      <c r="A36" s="13" t="inlineStr">
        <is>
          <t>The Criterion</t>
        </is>
      </c>
      <c r="B36" s="13" t="inlineStr">
        <is>
          <t>North</t>
        </is>
      </c>
      <c r="C36" s="13" t="inlineStr">
        <is>
          <t>Yishun</t>
        </is>
      </c>
      <c r="D36" s="13" t="inlineStr">
        <is>
          <t>2018</t>
        </is>
      </c>
      <c r="E36" s="13" t="inlineStr">
        <is>
          <t>3 bedrooms</t>
        </is>
      </c>
      <c r="F36" s="14" t="n">
        <v>1023</v>
      </c>
      <c r="G36" s="15" t="n">
        <v>1430000</v>
      </c>
      <c r="H36" s="15">
        <f>G36/F36</f>
        <v/>
      </c>
      <c r="I36" s="13" t="inlineStr"/>
      <c r="J36" s="13" t="inlineStr"/>
      <c r="K36" s="13" t="inlineStr">
        <is>
          <t>500212712</t>
        </is>
      </c>
      <c r="L36" s="13" t="inlineStr"/>
      <c r="M36" s="17" t="inlineStr">
        <is>
          <t>https://www.propertyguru.com.sg/listing/for-sale-the-criterion-500212712</t>
        </is>
      </c>
    </row>
    <row r="37">
      <c r="A37" s="13" t="inlineStr">
        <is>
          <t>The Criterion</t>
        </is>
      </c>
      <c r="B37" s="13" t="inlineStr">
        <is>
          <t>North</t>
        </is>
      </c>
      <c r="C37" s="13" t="inlineStr">
        <is>
          <t>Yishun</t>
        </is>
      </c>
      <c r="D37" s="13" t="inlineStr">
        <is>
          <t>2018</t>
        </is>
      </c>
      <c r="E37" s="13" t="inlineStr">
        <is>
          <t>3 bedrooms</t>
        </is>
      </c>
      <c r="F37" s="14" t="n">
        <v>1023</v>
      </c>
      <c r="G37" s="15" t="n">
        <v>1449999</v>
      </c>
      <c r="H37" s="15">
        <f>G37/F37</f>
        <v/>
      </c>
      <c r="I37" s="13" t="inlineStr"/>
      <c r="J37" s="13" t="inlineStr"/>
      <c r="K37" s="13" t="inlineStr">
        <is>
          <t>500207742</t>
        </is>
      </c>
      <c r="L37" s="13" t="inlineStr"/>
      <c r="M37" s="17" t="inlineStr">
        <is>
          <t>https://www.propertyguru.com.sg/listing/for-sale-the-criterion-500207742</t>
        </is>
      </c>
    </row>
    <row r="38">
      <c r="A38" s="13" t="inlineStr">
        <is>
          <t>The Criterion</t>
        </is>
      </c>
      <c r="B38" s="13" t="inlineStr">
        <is>
          <t>North</t>
        </is>
      </c>
      <c r="C38" s="13" t="inlineStr">
        <is>
          <t>Yishun</t>
        </is>
      </c>
      <c r="D38" s="13" t="inlineStr">
        <is>
          <t>2018</t>
        </is>
      </c>
      <c r="E38" s="13" t="inlineStr">
        <is>
          <t>3 bedrooms</t>
        </is>
      </c>
      <c r="F38" s="14" t="n">
        <v>1033</v>
      </c>
      <c r="G38" s="15" t="n">
        <v>1450000</v>
      </c>
      <c r="H38" s="15">
        <f>G38/F38</f>
        <v/>
      </c>
      <c r="I38" s="13" t="inlineStr"/>
      <c r="J38" s="13" t="inlineStr"/>
      <c r="K38" s="13" t="inlineStr">
        <is>
          <t>500229851</t>
        </is>
      </c>
      <c r="L38" s="13" t="inlineStr"/>
      <c r="M38" s="17" t="inlineStr">
        <is>
          <t>https://www.propertyguru.com.sg/listing/for-sale-the-criterion-500229851</t>
        </is>
      </c>
    </row>
    <row r="39">
      <c r="A39" s="5" t="inlineStr">
        <is>
          <t>The Criterion</t>
        </is>
      </c>
      <c r="B39" s="5" t="inlineStr">
        <is>
          <t>North</t>
        </is>
      </c>
      <c r="C39" s="5" t="inlineStr">
        <is>
          <t>Yishun</t>
        </is>
      </c>
      <c r="D39" s="5" t="inlineStr">
        <is>
          <t>2018</t>
        </is>
      </c>
      <c r="E39" s="5" t="inlineStr">
        <is>
          <t>3 bedrooms</t>
        </is>
      </c>
      <c r="F39" s="6" t="n">
        <v>1098</v>
      </c>
      <c r="G39" s="7" t="n">
        <v>1500000</v>
      </c>
      <c r="H39" s="7">
        <f>G39/F39</f>
        <v/>
      </c>
      <c r="I39" s="5" t="inlineStr">
        <is>
          <t>Yes</t>
        </is>
      </c>
      <c r="J39" s="5" t="inlineStr"/>
      <c r="K39" s="5" t="inlineStr">
        <is>
          <t>500107124</t>
        </is>
      </c>
      <c r="L39" s="5" t="inlineStr">
        <is>
          <t>high floor; south facing</t>
        </is>
      </c>
      <c r="M39" s="8" t="inlineStr">
        <is>
          <t>https://www.propertyguru.com.sg/listing/for-sale-the-criterion-500107124</t>
        </is>
      </c>
    </row>
    <row r="40">
      <c r="A40" s="5" t="inlineStr">
        <is>
          <t>The Terrace</t>
        </is>
      </c>
      <c r="B40" s="5" t="inlineStr">
        <is>
          <t>North-East</t>
        </is>
      </c>
      <c r="C40" s="5" t="inlineStr">
        <is>
          <t>Punggol</t>
        </is>
      </c>
      <c r="D40" s="5" t="inlineStr">
        <is>
          <t>2017</t>
        </is>
      </c>
      <c r="E40" s="5" t="inlineStr">
        <is>
          <t>3 bedrooms</t>
        </is>
      </c>
      <c r="F40" s="6" t="n">
        <v>1001</v>
      </c>
      <c r="G40" s="7" t="n">
        <v>1580000</v>
      </c>
      <c r="H40" s="7">
        <f>G40/F40</f>
        <v/>
      </c>
      <c r="I40" s="5" t="inlineStr">
        <is>
          <t>Yes</t>
        </is>
      </c>
      <c r="J40" s="5" t="inlineStr"/>
      <c r="K40" s="5" t="inlineStr">
        <is>
          <t>500234857</t>
        </is>
      </c>
      <c r="L40" s="5" t="inlineStr"/>
      <c r="M40" s="8" t="inlineStr">
        <is>
          <t>https://www.propertyguru.com.sg/listing/for-sale-the-terrace-500234857</t>
        </is>
      </c>
    </row>
    <row r="41">
      <c r="A41" s="13" t="inlineStr">
        <is>
          <t>The Terrace</t>
        </is>
      </c>
      <c r="B41" s="13" t="inlineStr">
        <is>
          <t>North-East</t>
        </is>
      </c>
      <c r="C41" s="13" t="inlineStr">
        <is>
          <t>Punggol</t>
        </is>
      </c>
      <c r="D41" s="13" t="inlineStr">
        <is>
          <t>2017</t>
        </is>
      </c>
      <c r="E41" s="13" t="inlineStr">
        <is>
          <t>3 bedrooms</t>
        </is>
      </c>
      <c r="F41" s="14" t="n">
        <v>1001</v>
      </c>
      <c r="G41" s="15" t="n">
        <v>1580000</v>
      </c>
      <c r="H41" s="15">
        <f>G41/F41</f>
        <v/>
      </c>
      <c r="I41" s="13" t="inlineStr"/>
      <c r="J41" s="13" t="inlineStr"/>
      <c r="K41" s="13" t="inlineStr">
        <is>
          <t>500138110</t>
        </is>
      </c>
      <c r="L41" s="13" t="inlineStr">
        <is>
          <t>same price/size as 500234857 - may be the same unit</t>
        </is>
      </c>
      <c r="M41" s="17" t="inlineStr">
        <is>
          <t>https://www.propertyguru.com.sg/listing/for-sale-the-terrace-500138110</t>
        </is>
      </c>
    </row>
    <row r="42">
      <c r="A42" s="9" t="inlineStr">
        <is>
          <t>The Topiary</t>
        </is>
      </c>
      <c r="B42" s="9" t="inlineStr">
        <is>
          <t>North-East</t>
        </is>
      </c>
      <c r="C42" s="9" t="inlineStr">
        <is>
          <t>Sengkang</t>
        </is>
      </c>
      <c r="D42" s="9" t="inlineStr">
        <is>
          <t>2016</t>
        </is>
      </c>
      <c r="E42" s="9" t="inlineStr">
        <is>
          <t>3 bedrooms</t>
        </is>
      </c>
      <c r="F42" s="10" t="n">
        <v>1087</v>
      </c>
      <c r="G42" s="11" t="n">
        <v>1600000</v>
      </c>
      <c r="H42" s="11">
        <f>G42/F42</f>
        <v/>
      </c>
      <c r="I42" s="9" t="inlineStr">
        <is>
          <t>Yes</t>
        </is>
      </c>
      <c r="J42" s="9" t="inlineStr">
        <is>
          <t>Yes</t>
        </is>
      </c>
      <c r="K42" s="9" t="inlineStr">
        <is>
          <t>500240724</t>
        </is>
      </c>
      <c r="L42" s="9" t="inlineStr">
        <is>
          <t>price from June's live check 30 Sep; size to confirm</t>
        </is>
      </c>
      <c r="M42" s="12" t="inlineStr">
        <is>
          <t>https://www.propertyguru.com.sg/listing/for-sale-the-topiary-500240724</t>
        </is>
      </c>
    </row>
    <row r="43">
      <c r="A43" s="13" t="inlineStr">
        <is>
          <t>The Topiary</t>
        </is>
      </c>
      <c r="B43" s="13" t="inlineStr">
        <is>
          <t>North-East</t>
        </is>
      </c>
      <c r="C43" s="13" t="inlineStr">
        <is>
          <t>Sengkang</t>
        </is>
      </c>
      <c r="D43" s="13" t="inlineStr">
        <is>
          <t>2016</t>
        </is>
      </c>
      <c r="E43" s="13" t="inlineStr">
        <is>
          <t>3 bedrooms</t>
        </is>
      </c>
      <c r="F43" s="14" t="n">
        <v>1087</v>
      </c>
      <c r="G43" s="15" t="n">
        <v>1600000</v>
      </c>
      <c r="H43" s="15">
        <f>G43/F43</f>
        <v/>
      </c>
      <c r="I43" s="13" t="inlineStr"/>
      <c r="J43" s="13" t="inlineStr"/>
      <c r="K43" s="13" t="inlineStr">
        <is>
          <t>500104027</t>
        </is>
      </c>
      <c r="L43" s="13" t="inlineStr">
        <is>
          <t>price from June's live check 30 Sep (search index showed $1.65M)</t>
        </is>
      </c>
      <c r="M43" s="17" t="inlineStr">
        <is>
          <t>https://www.propertyguru.com.sg/listing/for-sale-the-topiary-500104027</t>
        </is>
      </c>
    </row>
    <row r="44">
      <c r="A44" s="13" t="inlineStr">
        <is>
          <t>The Topiary</t>
        </is>
      </c>
      <c r="B44" s="13" t="inlineStr">
        <is>
          <t>North-East</t>
        </is>
      </c>
      <c r="C44" s="13" t="inlineStr">
        <is>
          <t>Sengkang</t>
        </is>
      </c>
      <c r="D44" s="13" t="inlineStr">
        <is>
          <t>2016</t>
        </is>
      </c>
      <c r="E44" s="13" t="inlineStr">
        <is>
          <t>3 bedrooms</t>
        </is>
      </c>
      <c r="F44" s="14" t="n">
        <v>1044</v>
      </c>
      <c r="G44" s="15" t="n">
        <v>1600000</v>
      </c>
      <c r="H44" s="15">
        <f>G44/F44</f>
        <v/>
      </c>
      <c r="I44" s="13" t="inlineStr"/>
      <c r="J44" s="13" t="inlineStr"/>
      <c r="K44" s="13" t="inlineStr">
        <is>
          <t>500229235</t>
        </is>
      </c>
      <c r="L44" s="13" t="inlineStr">
        <is>
          <t>from June's links; search index showed $1.638M - confirm price</t>
        </is>
      </c>
      <c r="M44" s="17" t="inlineStr">
        <is>
          <t>https://www.propertyguru.com.sg/listing/for-sale-the-topiary-500229235</t>
        </is>
      </c>
    </row>
    <row r="45">
      <c r="A45" s="5" t="inlineStr">
        <is>
          <t>The Visionaire</t>
        </is>
      </c>
      <c r="B45" s="5" t="inlineStr">
        <is>
          <t>North</t>
        </is>
      </c>
      <c r="C45" s="5" t="inlineStr">
        <is>
          <t>Sembawang</t>
        </is>
      </c>
      <c r="D45" s="5" t="inlineStr">
        <is>
          <t>2018</t>
        </is>
      </c>
      <c r="E45" s="5" t="inlineStr">
        <is>
          <t>3 bedrooms</t>
        </is>
      </c>
      <c r="F45" s="6" t="n">
        <v>1023</v>
      </c>
      <c r="G45" s="7" t="n">
        <v>1538000</v>
      </c>
      <c r="H45" s="7">
        <f>G45/F45</f>
        <v/>
      </c>
      <c r="I45" s="5" t="inlineStr">
        <is>
          <t>Yes</t>
        </is>
      </c>
      <c r="J45" s="5" t="inlineStr"/>
      <c r="K45" s="5" t="inlineStr">
        <is>
          <t>500139384</t>
        </is>
      </c>
      <c r="L45" s="5" t="inlineStr"/>
      <c r="M45" s="8" t="inlineStr">
        <is>
          <t>https://www.propertyguru.com.sg/listing/for-sale-the-visionaire-500139384</t>
        </is>
      </c>
    </row>
    <row r="46">
      <c r="A46" s="13" t="inlineStr">
        <is>
          <t>Twin Fountains</t>
        </is>
      </c>
      <c r="B46" s="13" t="inlineStr">
        <is>
          <t>North</t>
        </is>
      </c>
      <c r="C46" s="13" t="inlineStr">
        <is>
          <t>Woodlands</t>
        </is>
      </c>
      <c r="D46" s="13" t="inlineStr">
        <is>
          <t>2016</t>
        </is>
      </c>
      <c r="E46" s="13" t="inlineStr">
        <is>
          <t>3 bedrooms</t>
        </is>
      </c>
      <c r="F46" s="14" t="n">
        <v>1055</v>
      </c>
      <c r="G46" s="15" t="n">
        <v>1360000</v>
      </c>
      <c r="H46" s="15">
        <f>G46/F46</f>
        <v/>
      </c>
      <c r="I46" s="13" t="inlineStr"/>
      <c r="J46" s="13" t="inlineStr"/>
      <c r="K46" s="13" t="inlineStr">
        <is>
          <t>500070595</t>
        </is>
      </c>
      <c r="L46" s="13" t="inlineStr"/>
      <c r="M46" s="17" t="inlineStr">
        <is>
          <t>https://www.propertyguru.com.sg/listing/for-sale-twin-fountains-500070595</t>
        </is>
      </c>
    </row>
    <row r="47">
      <c r="A47" s="13" t="inlineStr">
        <is>
          <t>Twin Fountains</t>
        </is>
      </c>
      <c r="B47" s="13" t="inlineStr">
        <is>
          <t>North</t>
        </is>
      </c>
      <c r="C47" s="13" t="inlineStr">
        <is>
          <t>Woodlands</t>
        </is>
      </c>
      <c r="D47" s="13" t="inlineStr">
        <is>
          <t>2016</t>
        </is>
      </c>
      <c r="E47" s="13" t="inlineStr">
        <is>
          <t>3 bedrooms</t>
        </is>
      </c>
      <c r="F47" s="14" t="n">
        <v>1163</v>
      </c>
      <c r="G47" s="15" t="n">
        <v>1360000</v>
      </c>
      <c r="H47" s="15">
        <f>G47/F47</f>
        <v/>
      </c>
      <c r="I47" s="13" t="inlineStr"/>
      <c r="J47" s="13" t="inlineStr"/>
      <c r="K47" s="13" t="inlineStr">
        <is>
          <t>25542447</t>
        </is>
      </c>
      <c r="L47" s="16" t="inlineStr">
        <is>
          <t>older listing ID - may be stale</t>
        </is>
      </c>
      <c r="M47" s="17" t="inlineStr">
        <is>
          <t>https://www.propertyguru.com.sg/listing/for-sale-twin-fountains-25542447</t>
        </is>
      </c>
    </row>
    <row r="48">
      <c r="A48" s="13" t="inlineStr">
        <is>
          <t>Twin Fountains</t>
        </is>
      </c>
      <c r="B48" s="13" t="inlineStr">
        <is>
          <t>North</t>
        </is>
      </c>
      <c r="C48" s="13" t="inlineStr">
        <is>
          <t>Woodlands</t>
        </is>
      </c>
      <c r="D48" s="13" t="inlineStr">
        <is>
          <t>2016</t>
        </is>
      </c>
      <c r="E48" s="13" t="inlineStr">
        <is>
          <t>3 bedrooms</t>
        </is>
      </c>
      <c r="F48" s="14" t="n">
        <v>1055</v>
      </c>
      <c r="G48" s="15" t="n">
        <v>1360000</v>
      </c>
      <c r="H48" s="15">
        <f>G48/F48</f>
        <v/>
      </c>
      <c r="I48" s="13" t="inlineStr"/>
      <c r="J48" s="13" t="inlineStr"/>
      <c r="K48" s="13" t="inlineStr">
        <is>
          <t>60145981</t>
        </is>
      </c>
      <c r="L48" s="16" t="inlineStr">
        <is>
          <t>older listing ID; price seen as $1.36M and $1.5M - confirm</t>
        </is>
      </c>
      <c r="M48" s="17" t="inlineStr">
        <is>
          <t>https://www.propertyguru.com.sg/listing/for-sale-twin-fountains-60145981</t>
        </is>
      </c>
    </row>
    <row r="49">
      <c r="A49" s="13" t="inlineStr">
        <is>
          <t>Twin Fountains</t>
        </is>
      </c>
      <c r="B49" s="13" t="inlineStr">
        <is>
          <t>North</t>
        </is>
      </c>
      <c r="C49" s="13" t="inlineStr">
        <is>
          <t>Woodlands</t>
        </is>
      </c>
      <c r="D49" s="13" t="inlineStr">
        <is>
          <t>2016</t>
        </is>
      </c>
      <c r="E49" s="13" t="inlineStr">
        <is>
          <t>3 bedrooms</t>
        </is>
      </c>
      <c r="F49" s="14" t="n">
        <v>1033</v>
      </c>
      <c r="G49" s="15" t="n">
        <v>1399999</v>
      </c>
      <c r="H49" s="15">
        <f>G49/F49</f>
        <v/>
      </c>
      <c r="I49" s="13" t="inlineStr"/>
      <c r="J49" s="13" t="inlineStr"/>
      <c r="K49" s="13" t="inlineStr">
        <is>
          <t>60216211</t>
        </is>
      </c>
      <c r="L49" s="16" t="inlineStr">
        <is>
          <t>older listing ID - may be stale</t>
        </is>
      </c>
      <c r="M49" s="17" t="inlineStr">
        <is>
          <t>https://www.propertyguru.com.sg/listing/for-sale-twin-fountains-60216211</t>
        </is>
      </c>
    </row>
    <row r="50">
      <c r="A50" s="13" t="inlineStr">
        <is>
          <t>Twin Fountains</t>
        </is>
      </c>
      <c r="B50" s="13" t="inlineStr">
        <is>
          <t>North</t>
        </is>
      </c>
      <c r="C50" s="13" t="inlineStr">
        <is>
          <t>Woodlands</t>
        </is>
      </c>
      <c r="D50" s="13" t="inlineStr">
        <is>
          <t>2016</t>
        </is>
      </c>
      <c r="E50" s="13" t="inlineStr">
        <is>
          <t>3 bedrooms</t>
        </is>
      </c>
      <c r="F50" s="14" t="n">
        <v>1152</v>
      </c>
      <c r="G50" s="15" t="n">
        <v>1460000</v>
      </c>
      <c r="H50" s="15">
        <f>G50/F50</f>
        <v/>
      </c>
      <c r="I50" s="13" t="inlineStr"/>
      <c r="J50" s="13" t="inlineStr"/>
      <c r="K50" s="13" t="inlineStr">
        <is>
          <t>60221142</t>
        </is>
      </c>
      <c r="L50" s="16" t="inlineStr">
        <is>
          <t>older listing ID - may be stale</t>
        </is>
      </c>
      <c r="M50" s="17" t="inlineStr">
        <is>
          <t>https://www.propertyguru.com.sg/listing/for-sale-twin-fountains-60221142</t>
        </is>
      </c>
    </row>
    <row r="51">
      <c r="A51" s="13" t="inlineStr">
        <is>
          <t>Twin Fountains</t>
        </is>
      </c>
      <c r="B51" s="13" t="inlineStr">
        <is>
          <t>North</t>
        </is>
      </c>
      <c r="C51" s="13" t="inlineStr">
        <is>
          <t>Woodlands</t>
        </is>
      </c>
      <c r="D51" s="13" t="inlineStr">
        <is>
          <t>2016</t>
        </is>
      </c>
      <c r="E51" s="13" t="inlineStr">
        <is>
          <t>3 bedrooms</t>
        </is>
      </c>
      <c r="F51" s="14" t="n">
        <v>1152</v>
      </c>
      <c r="G51" s="15" t="n">
        <v>1550000</v>
      </c>
      <c r="H51" s="15">
        <f>G51/F51</f>
        <v/>
      </c>
      <c r="I51" s="13" t="inlineStr"/>
      <c r="J51" s="13" t="inlineStr"/>
      <c r="K51" s="13" t="inlineStr">
        <is>
          <t>60107150</t>
        </is>
      </c>
      <c r="L51" s="16" t="inlineStr">
        <is>
          <t>older listing ID - may be stale</t>
        </is>
      </c>
      <c r="M51" s="17" t="inlineStr">
        <is>
          <t>https://www.propertyguru.com.sg/listing/for-sale-twin-fountains-60107150</t>
        </is>
      </c>
    </row>
    <row r="52">
      <c r="A52" s="13" t="inlineStr">
        <is>
          <t>Twin Fountains</t>
        </is>
      </c>
      <c r="B52" s="13" t="inlineStr">
        <is>
          <t>North</t>
        </is>
      </c>
      <c r="C52" s="13" t="inlineStr">
        <is>
          <t>Woodlands</t>
        </is>
      </c>
      <c r="D52" s="13" t="inlineStr">
        <is>
          <t>2016</t>
        </is>
      </c>
      <c r="E52" s="13" t="inlineStr">
        <is>
          <t>3 bedrooms</t>
        </is>
      </c>
      <c r="F52" s="14" t="n">
        <v>1152</v>
      </c>
      <c r="G52" s="15" t="n">
        <v>1588000</v>
      </c>
      <c r="H52" s="15">
        <f>G52/F52</f>
        <v/>
      </c>
      <c r="I52" s="13" t="inlineStr"/>
      <c r="J52" s="13" t="inlineStr"/>
      <c r="K52" s="13" t="inlineStr">
        <is>
          <t>500231540</t>
        </is>
      </c>
      <c r="L52" s="13" t="inlineStr"/>
      <c r="M52" s="17" t="inlineStr">
        <is>
          <t>https://www.propertyguru.com.sg/listing/for-sale-twin-fountains-500231540</t>
        </is>
      </c>
    </row>
    <row r="53">
      <c r="A53" s="9" t="inlineStr">
        <is>
          <t>Twin Fountains</t>
        </is>
      </c>
      <c r="B53" s="9" t="inlineStr">
        <is>
          <t>North</t>
        </is>
      </c>
      <c r="C53" s="9" t="inlineStr">
        <is>
          <t>Woodlands</t>
        </is>
      </c>
      <c r="D53" s="9" t="inlineStr">
        <is>
          <t>2016</t>
        </is>
      </c>
      <c r="E53" s="9" t="inlineStr">
        <is>
          <t>3 bedrooms</t>
        </is>
      </c>
      <c r="F53" s="10" t="n">
        <v>1270</v>
      </c>
      <c r="G53" s="11" t="n">
        <v>1598000</v>
      </c>
      <c r="H53" s="11">
        <f>G53/F53</f>
        <v/>
      </c>
      <c r="I53" s="9" t="inlineStr">
        <is>
          <t>Yes</t>
        </is>
      </c>
      <c r="J53" s="9" t="inlineStr">
        <is>
          <t>Yes</t>
        </is>
      </c>
      <c r="K53" s="9" t="inlineStr">
        <is>
          <t>500211452</t>
        </is>
      </c>
      <c r="L53" s="9" t="inlineStr"/>
      <c r="M53" s="12" t="inlineStr">
        <is>
          <t>https://www.propertyguru.com.sg/listing/for-sale-twin-fountains-500211452</t>
        </is>
      </c>
    </row>
    <row r="54">
      <c r="A54" s="9" t="inlineStr">
        <is>
          <t>Westwood Residences</t>
        </is>
      </c>
      <c r="B54" s="9" t="inlineStr">
        <is>
          <t>West</t>
        </is>
      </c>
      <c r="C54" s="9" t="inlineStr">
        <is>
          <t>Jurong West</t>
        </is>
      </c>
      <c r="D54" s="9" t="inlineStr">
        <is>
          <t>2017</t>
        </is>
      </c>
      <c r="E54" s="9" t="inlineStr">
        <is>
          <t>3 bedrooms</t>
        </is>
      </c>
      <c r="F54" s="10" t="n">
        <v>1033</v>
      </c>
      <c r="G54" s="11" t="n">
        <v>1450000</v>
      </c>
      <c r="H54" s="11">
        <f>G54/F54</f>
        <v/>
      </c>
      <c r="I54" s="9" t="inlineStr">
        <is>
          <t>Yes</t>
        </is>
      </c>
      <c r="J54" s="9" t="inlineStr">
        <is>
          <t>Yes</t>
        </is>
      </c>
      <c r="K54" s="9" t="inlineStr">
        <is>
          <t>500264493</t>
        </is>
      </c>
      <c r="L54" s="9" t="inlineStr"/>
      <c r="M54" s="12" t="inlineStr">
        <is>
          <t>https://www.propertyguru.com.sg/listing/for-sale-westwood-residences-ec-500264493</t>
        </is>
      </c>
    </row>
    <row r="55">
      <c r="A55" s="13" t="inlineStr">
        <is>
          <t>Westwood Residences</t>
        </is>
      </c>
      <c r="B55" s="13" t="inlineStr">
        <is>
          <t>West</t>
        </is>
      </c>
      <c r="C55" s="13" t="inlineStr">
        <is>
          <t>Jurong West</t>
        </is>
      </c>
      <c r="D55" s="13" t="inlineStr">
        <is>
          <t>2017</t>
        </is>
      </c>
      <c r="E55" s="13" t="inlineStr">
        <is>
          <t>3 bedrooms</t>
        </is>
      </c>
      <c r="F55" s="14" t="n">
        <v>1034</v>
      </c>
      <c r="G55" s="15" t="n">
        <v>1480000</v>
      </c>
      <c r="H55" s="15">
        <f>G55/F55</f>
        <v/>
      </c>
      <c r="I55" s="13" t="inlineStr"/>
      <c r="J55" s="13" t="inlineStr"/>
      <c r="K55" s="13" t="inlineStr">
        <is>
          <t>500255283</t>
        </is>
      </c>
      <c r="L55" s="13" t="inlineStr"/>
      <c r="M55" s="17" t="inlineStr">
        <is>
          <t>https://www.propertyguru.com.sg/listing/for-sale-westwood-residences-ec-500255283</t>
        </is>
      </c>
    </row>
    <row r="56">
      <c r="A56" s="13" t="inlineStr">
        <is>
          <t>Westwood Residences</t>
        </is>
      </c>
      <c r="B56" s="13" t="inlineStr">
        <is>
          <t>West</t>
        </is>
      </c>
      <c r="C56" s="13" t="inlineStr">
        <is>
          <t>Jurong West</t>
        </is>
      </c>
      <c r="D56" s="13" t="inlineStr">
        <is>
          <t>2017</t>
        </is>
      </c>
      <c r="E56" s="13" t="inlineStr">
        <is>
          <t>3 bedrooms</t>
        </is>
      </c>
      <c r="F56" s="14" t="n">
        <v>1033</v>
      </c>
      <c r="G56" s="15" t="n">
        <v>1498000</v>
      </c>
      <c r="H56" s="15">
        <f>G56/F56</f>
        <v/>
      </c>
      <c r="I56" s="13" t="inlineStr"/>
      <c r="J56" s="13" t="inlineStr"/>
      <c r="K56" s="13" t="inlineStr">
        <is>
          <t>500276758</t>
        </is>
      </c>
      <c r="L56" s="13" t="inlineStr"/>
      <c r="M56" s="17" t="inlineStr">
        <is>
          <t>https://www.propertyguru.com.sg/listing/for-sale-westwood-residences-ec-500276758</t>
        </is>
      </c>
    </row>
    <row r="57">
      <c r="A57" s="13" t="inlineStr">
        <is>
          <t>Westwood Residences</t>
        </is>
      </c>
      <c r="B57" s="13" t="inlineStr">
        <is>
          <t>West</t>
        </is>
      </c>
      <c r="C57" s="13" t="inlineStr">
        <is>
          <t>Jurong West</t>
        </is>
      </c>
      <c r="D57" s="13" t="inlineStr">
        <is>
          <t>2017</t>
        </is>
      </c>
      <c r="E57" s="13" t="inlineStr">
        <is>
          <t>3 bedrooms</t>
        </is>
      </c>
      <c r="F57" s="14" t="n">
        <v>1033</v>
      </c>
      <c r="G57" s="15" t="n">
        <v>1549999</v>
      </c>
      <c r="H57" s="15">
        <f>G57/F57</f>
        <v/>
      </c>
      <c r="I57" s="13" t="inlineStr"/>
      <c r="J57" s="13" t="inlineStr"/>
      <c r="K57" s="13" t="inlineStr">
        <is>
          <t>500225608</t>
        </is>
      </c>
      <c r="L57" s="13" t="inlineStr"/>
      <c r="M57" s="17" t="inlineStr">
        <is>
          <t>https://www.propertyguru.com.sg/listing/for-sale-westwood-residences-ec-500225608</t>
        </is>
      </c>
    </row>
  </sheetData>
  <autoFilter ref="A1:M57"/>
  <hyperlinks>
    <hyperlink xmlns:r="http://schemas.openxmlformats.org/officeDocument/2006/relationships" ref="M2" r:id="rId1"/>
    <hyperlink xmlns:r="http://schemas.openxmlformats.org/officeDocument/2006/relationships" ref="M3" r:id="rId2"/>
    <hyperlink xmlns:r="http://schemas.openxmlformats.org/officeDocument/2006/relationships" ref="M4" r:id="rId3"/>
    <hyperlink xmlns:r="http://schemas.openxmlformats.org/officeDocument/2006/relationships" ref="M5" r:id="rId4"/>
    <hyperlink xmlns:r="http://schemas.openxmlformats.org/officeDocument/2006/relationships" ref="M6" r:id="rId5"/>
    <hyperlink xmlns:r="http://schemas.openxmlformats.org/officeDocument/2006/relationships" ref="M7" r:id="rId6"/>
    <hyperlink xmlns:r="http://schemas.openxmlformats.org/officeDocument/2006/relationships" ref="M8" r:id="rId7"/>
    <hyperlink xmlns:r="http://schemas.openxmlformats.org/officeDocument/2006/relationships" ref="M9" r:id="rId8"/>
    <hyperlink xmlns:r="http://schemas.openxmlformats.org/officeDocument/2006/relationships" ref="M10" r:id="rId9"/>
    <hyperlink xmlns:r="http://schemas.openxmlformats.org/officeDocument/2006/relationships" ref="M11" r:id="rId10"/>
    <hyperlink xmlns:r="http://schemas.openxmlformats.org/officeDocument/2006/relationships" ref="M12" r:id="rId11"/>
    <hyperlink xmlns:r="http://schemas.openxmlformats.org/officeDocument/2006/relationships" ref="M13" r:id="rId12"/>
    <hyperlink xmlns:r="http://schemas.openxmlformats.org/officeDocument/2006/relationships" ref="M14" r:id="rId13"/>
    <hyperlink xmlns:r="http://schemas.openxmlformats.org/officeDocument/2006/relationships" ref="M15" r:id="rId14"/>
    <hyperlink xmlns:r="http://schemas.openxmlformats.org/officeDocument/2006/relationships" ref="M16" r:id="rId15"/>
    <hyperlink xmlns:r="http://schemas.openxmlformats.org/officeDocument/2006/relationships" ref="M17" r:id="rId16"/>
    <hyperlink xmlns:r="http://schemas.openxmlformats.org/officeDocument/2006/relationships" ref="M18" r:id="rId17"/>
    <hyperlink xmlns:r="http://schemas.openxmlformats.org/officeDocument/2006/relationships" ref="M19" r:id="rId18"/>
    <hyperlink xmlns:r="http://schemas.openxmlformats.org/officeDocument/2006/relationships" ref="M20" r:id="rId19"/>
    <hyperlink xmlns:r="http://schemas.openxmlformats.org/officeDocument/2006/relationships" ref="M21" r:id="rId20"/>
    <hyperlink xmlns:r="http://schemas.openxmlformats.org/officeDocument/2006/relationships" ref="M22" r:id="rId21"/>
    <hyperlink xmlns:r="http://schemas.openxmlformats.org/officeDocument/2006/relationships" ref="M23" r:id="rId22"/>
    <hyperlink xmlns:r="http://schemas.openxmlformats.org/officeDocument/2006/relationships" ref="M24" r:id="rId23"/>
    <hyperlink xmlns:r="http://schemas.openxmlformats.org/officeDocument/2006/relationships" ref="M25" r:id="rId24"/>
    <hyperlink xmlns:r="http://schemas.openxmlformats.org/officeDocument/2006/relationships" ref="M26" r:id="rId25"/>
    <hyperlink xmlns:r="http://schemas.openxmlformats.org/officeDocument/2006/relationships" ref="M27" r:id="rId26"/>
    <hyperlink xmlns:r="http://schemas.openxmlformats.org/officeDocument/2006/relationships" ref="M28" r:id="rId27"/>
    <hyperlink xmlns:r="http://schemas.openxmlformats.org/officeDocument/2006/relationships" ref="M29" r:id="rId28"/>
    <hyperlink xmlns:r="http://schemas.openxmlformats.org/officeDocument/2006/relationships" ref="M30" r:id="rId29"/>
    <hyperlink xmlns:r="http://schemas.openxmlformats.org/officeDocument/2006/relationships" ref="M31" r:id="rId30"/>
    <hyperlink xmlns:r="http://schemas.openxmlformats.org/officeDocument/2006/relationships" ref="M32" r:id="rId31"/>
    <hyperlink xmlns:r="http://schemas.openxmlformats.org/officeDocument/2006/relationships" ref="M33" r:id="rId32"/>
    <hyperlink xmlns:r="http://schemas.openxmlformats.org/officeDocument/2006/relationships" ref="M34" r:id="rId33"/>
    <hyperlink xmlns:r="http://schemas.openxmlformats.org/officeDocument/2006/relationships" ref="M35" r:id="rId34"/>
    <hyperlink xmlns:r="http://schemas.openxmlformats.org/officeDocument/2006/relationships" ref="M36" r:id="rId35"/>
    <hyperlink xmlns:r="http://schemas.openxmlformats.org/officeDocument/2006/relationships" ref="M37" r:id="rId36"/>
    <hyperlink xmlns:r="http://schemas.openxmlformats.org/officeDocument/2006/relationships" ref="M38" r:id="rId37"/>
    <hyperlink xmlns:r="http://schemas.openxmlformats.org/officeDocument/2006/relationships" ref="M39" r:id="rId38"/>
    <hyperlink xmlns:r="http://schemas.openxmlformats.org/officeDocument/2006/relationships" ref="M40" r:id="rId39"/>
    <hyperlink xmlns:r="http://schemas.openxmlformats.org/officeDocument/2006/relationships" ref="M41" r:id="rId40"/>
    <hyperlink xmlns:r="http://schemas.openxmlformats.org/officeDocument/2006/relationships" ref="M42" r:id="rId41"/>
    <hyperlink xmlns:r="http://schemas.openxmlformats.org/officeDocument/2006/relationships" ref="M43" r:id="rId42"/>
    <hyperlink xmlns:r="http://schemas.openxmlformats.org/officeDocument/2006/relationships" ref="M44" r:id="rId43"/>
    <hyperlink xmlns:r="http://schemas.openxmlformats.org/officeDocument/2006/relationships" ref="M45" r:id="rId44"/>
    <hyperlink xmlns:r="http://schemas.openxmlformats.org/officeDocument/2006/relationships" ref="M46" r:id="rId45"/>
    <hyperlink xmlns:r="http://schemas.openxmlformats.org/officeDocument/2006/relationships" ref="M47" r:id="rId46"/>
    <hyperlink xmlns:r="http://schemas.openxmlformats.org/officeDocument/2006/relationships" ref="M48" r:id="rId47"/>
    <hyperlink xmlns:r="http://schemas.openxmlformats.org/officeDocument/2006/relationships" ref="M49" r:id="rId48"/>
    <hyperlink xmlns:r="http://schemas.openxmlformats.org/officeDocument/2006/relationships" ref="M50" r:id="rId49"/>
    <hyperlink xmlns:r="http://schemas.openxmlformats.org/officeDocument/2006/relationships" ref="M51" r:id="rId50"/>
    <hyperlink xmlns:r="http://schemas.openxmlformats.org/officeDocument/2006/relationships" ref="M52" r:id="rId51"/>
    <hyperlink xmlns:r="http://schemas.openxmlformats.org/officeDocument/2006/relationships" ref="M53" r:id="rId52"/>
    <hyperlink xmlns:r="http://schemas.openxmlformats.org/officeDocument/2006/relationships" ref="M54" r:id="rId53"/>
    <hyperlink xmlns:r="http://schemas.openxmlformats.org/officeDocument/2006/relationships" ref="M55" r:id="rId54"/>
    <hyperlink xmlns:r="http://schemas.openxmlformats.org/officeDocument/2006/relationships" ref="M56" r:id="rId55"/>
    <hyperlink xmlns:r="http://schemas.openxmlformats.org/officeDocument/2006/relationships" ref="M57" r:id="rId56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4" customWidth="1" min="2" max="2"/>
    <col width="12" customWidth="1" min="3" max="3"/>
    <col width="16" customWidth="1" min="4" max="4"/>
    <col width="8" customWidth="1" min="5" max="5"/>
    <col width="9" customWidth="1" min="6" max="6"/>
    <col width="28" customWidth="1" min="7" max="7"/>
    <col width="11" customWidth="1" min="8" max="8"/>
    <col width="15" customWidth="1" min="9" max="9"/>
    <col width="15" customWidth="1" min="10" max="10"/>
    <col width="12" customWidth="1" min="11" max="11"/>
    <col width="12" customWidth="1" min="12" max="12"/>
    <col width="11" customWidth="1" min="13" max="13"/>
  </cols>
  <sheetData>
    <row r="1" ht="32" customHeight="1">
      <c r="A1" s="4" t="inlineStr">
        <is>
          <t>Deck order</t>
        </is>
      </c>
      <c r="B1" s="4" t="inlineStr">
        <is>
          <t>Development</t>
        </is>
      </c>
      <c r="C1" s="4" t="inlineStr">
        <is>
          <t>Zone</t>
        </is>
      </c>
      <c r="D1" s="4" t="inlineStr">
        <is>
          <t>Area</t>
        </is>
      </c>
      <c r="E1" s="4" t="inlineStr">
        <is>
          <t>TOP</t>
        </is>
      </c>
      <c r="F1" s="4" t="inlineStr">
        <is>
          <t>Units</t>
        </is>
      </c>
      <c r="G1" s="4" t="inlineStr">
        <is>
          <t>Nearest train</t>
        </is>
      </c>
      <c r="H1" s="4" t="inlineStr">
        <is>
          <t>3BR listings</t>
        </is>
      </c>
      <c r="I1" s="4" t="inlineStr">
        <is>
          <t>Lowest asking (S$)</t>
        </is>
      </c>
      <c r="J1" s="4" t="inlineStr">
        <is>
          <t>Highest asking (S$)</t>
        </is>
      </c>
      <c r="K1" s="4" t="inlineStr">
        <is>
          <t>Best PSF (S$)</t>
        </is>
      </c>
      <c r="L1" s="4" t="inlineStr">
        <is>
          <t>Largest (sqft)</t>
        </is>
      </c>
      <c r="M1" s="4" t="inlineStr">
        <is>
          <t>In deck Top 10</t>
        </is>
      </c>
    </row>
    <row r="2">
      <c r="A2" s="9" t="n">
        <v>1</v>
      </c>
      <c r="B2" s="9" t="inlineStr">
        <is>
          <t>Signature at Yishun</t>
        </is>
      </c>
      <c r="C2" s="9" t="inlineStr">
        <is>
          <t>North</t>
        </is>
      </c>
      <c r="D2" s="9" t="inlineStr">
        <is>
          <t>Yishun</t>
        </is>
      </c>
      <c r="E2" s="9" t="inlineStr">
        <is>
          <t>2017</t>
        </is>
      </c>
      <c r="F2" s="10" t="n">
        <v>525</v>
      </c>
      <c r="G2" s="9" t="inlineStr">
        <is>
          <t>Khatib &amp; Yishun MRT</t>
        </is>
      </c>
      <c r="H2" s="9">
        <f>COUNTIF('All Listings'!$A$2:$A$57,B2)</f>
        <v/>
      </c>
      <c r="I2" s="11">
        <f>_xlfn.MINIFS('All Listings'!$G$2:$G$57,'All Listings'!$A$2:$A$57,B2)</f>
        <v/>
      </c>
      <c r="J2" s="11">
        <f>_xlfn.MAXIFS('All Listings'!$G$2:$G$57,'All Listings'!$A$2:$A$57,B2)</f>
        <v/>
      </c>
      <c r="K2" s="11">
        <f>_xlfn.MINIFS('All Listings'!$H$2:$H$57,'All Listings'!$A$2:$A$57,B2)</f>
        <v/>
      </c>
      <c r="L2" s="10">
        <f>_xlfn.MAXIFS('All Listings'!$F$2:$F$57,'All Listings'!$A$2:$A$57,B2)</f>
        <v/>
      </c>
      <c r="M2" s="9" t="inlineStr">
        <is>
          <t>Yes</t>
        </is>
      </c>
    </row>
    <row r="3">
      <c r="A3" s="9" t="n">
        <v>2</v>
      </c>
      <c r="B3" s="9" t="inlineStr">
        <is>
          <t>Forestville</t>
        </is>
      </c>
      <c r="C3" s="9" t="inlineStr">
        <is>
          <t>North</t>
        </is>
      </c>
      <c r="D3" s="9" t="inlineStr">
        <is>
          <t>Woodlands</t>
        </is>
      </c>
      <c r="E3" s="9" t="inlineStr">
        <is>
          <t>2016</t>
        </is>
      </c>
      <c r="F3" s="10" t="n">
        <v>653</v>
      </c>
      <c r="G3" s="9" t="inlineStr">
        <is>
          <t>Admiralty MRT, ~900m</t>
        </is>
      </c>
      <c r="H3" s="9">
        <f>COUNTIF('All Listings'!$A$2:$A$57,B3)</f>
        <v/>
      </c>
      <c r="I3" s="11">
        <f>_xlfn.MINIFS('All Listings'!$G$2:$G$57,'All Listings'!$A$2:$A$57,B3)</f>
        <v/>
      </c>
      <c r="J3" s="11">
        <f>_xlfn.MAXIFS('All Listings'!$G$2:$G$57,'All Listings'!$A$2:$A$57,B3)</f>
        <v/>
      </c>
      <c r="K3" s="11">
        <f>_xlfn.MINIFS('All Listings'!$H$2:$H$57,'All Listings'!$A$2:$A$57,B3)</f>
        <v/>
      </c>
      <c r="L3" s="10">
        <f>_xlfn.MAXIFS('All Listings'!$F$2:$F$57,'All Listings'!$A$2:$A$57,B3)</f>
        <v/>
      </c>
      <c r="M3" s="9" t="inlineStr">
        <is>
          <t>Yes</t>
        </is>
      </c>
    </row>
    <row r="4">
      <c r="A4" s="9" t="n">
        <v>3</v>
      </c>
      <c r="B4" s="9" t="inlineStr">
        <is>
          <t>Northwave</t>
        </is>
      </c>
      <c r="C4" s="9" t="inlineStr">
        <is>
          <t>North</t>
        </is>
      </c>
      <c r="D4" s="9" t="inlineStr">
        <is>
          <t>Woodlands</t>
        </is>
      </c>
      <c r="E4" s="9" t="inlineStr">
        <is>
          <t>2019</t>
        </is>
      </c>
      <c r="F4" s="10" t="n">
        <v>358</v>
      </c>
      <c r="G4" s="9" t="inlineStr">
        <is>
          <t>Admiralty MRT, ~1.1km</t>
        </is>
      </c>
      <c r="H4" s="9">
        <f>COUNTIF('All Listings'!$A$2:$A$57,B4)</f>
        <v/>
      </c>
      <c r="I4" s="11">
        <f>_xlfn.MINIFS('All Listings'!$G$2:$G$57,'All Listings'!$A$2:$A$57,B4)</f>
        <v/>
      </c>
      <c r="J4" s="11">
        <f>_xlfn.MAXIFS('All Listings'!$G$2:$G$57,'All Listings'!$A$2:$A$57,B4)</f>
        <v/>
      </c>
      <c r="K4" s="11">
        <f>_xlfn.MINIFS('All Listings'!$H$2:$H$57,'All Listings'!$A$2:$A$57,B4)</f>
        <v/>
      </c>
      <c r="L4" s="10">
        <f>_xlfn.MAXIFS('All Listings'!$F$2:$F$57,'All Listings'!$A$2:$A$57,B4)</f>
        <v/>
      </c>
      <c r="M4" s="9" t="inlineStr">
        <is>
          <t>Yes</t>
        </is>
      </c>
    </row>
    <row r="5">
      <c r="A5" s="9" t="n">
        <v>4</v>
      </c>
      <c r="B5" s="9" t="inlineStr">
        <is>
          <t>Twin Fountains</t>
        </is>
      </c>
      <c r="C5" s="9" t="inlineStr">
        <is>
          <t>North</t>
        </is>
      </c>
      <c r="D5" s="9" t="inlineStr">
        <is>
          <t>Woodlands</t>
        </is>
      </c>
      <c r="E5" s="9" t="inlineStr">
        <is>
          <t>2016</t>
        </is>
      </c>
      <c r="F5" s="10" t="n">
        <v>418</v>
      </c>
      <c r="G5" s="9" t="inlineStr">
        <is>
          <t>Woodlands South MRT, ~850m</t>
        </is>
      </c>
      <c r="H5" s="9">
        <f>COUNTIF('All Listings'!$A$2:$A$57,B5)</f>
        <v/>
      </c>
      <c r="I5" s="11">
        <f>_xlfn.MINIFS('All Listings'!$G$2:$G$57,'All Listings'!$A$2:$A$57,B5)</f>
        <v/>
      </c>
      <c r="J5" s="11">
        <f>_xlfn.MAXIFS('All Listings'!$G$2:$G$57,'All Listings'!$A$2:$A$57,B5)</f>
        <v/>
      </c>
      <c r="K5" s="11">
        <f>_xlfn.MINIFS('All Listings'!$H$2:$H$57,'All Listings'!$A$2:$A$57,B5)</f>
        <v/>
      </c>
      <c r="L5" s="10">
        <f>_xlfn.MAXIFS('All Listings'!$F$2:$F$57,'All Listings'!$A$2:$A$57,B5)</f>
        <v/>
      </c>
      <c r="M5" s="9" t="inlineStr">
        <is>
          <t>Yes</t>
        </is>
      </c>
    </row>
    <row r="6">
      <c r="A6" s="9" t="n">
        <v>5</v>
      </c>
      <c r="B6" s="9" t="inlineStr">
        <is>
          <t>Sea Horizon</t>
        </is>
      </c>
      <c r="C6" s="9" t="inlineStr">
        <is>
          <t>East</t>
        </is>
      </c>
      <c r="D6" s="9" t="inlineStr">
        <is>
          <t>Pasir Ris</t>
        </is>
      </c>
      <c r="E6" s="9" t="inlineStr">
        <is>
          <t>2016</t>
        </is>
      </c>
      <c r="F6" s="10" t="n">
        <v>495</v>
      </c>
      <c r="G6" s="9" t="inlineStr">
        <is>
          <t>Pasir Ris MRT, ~15 min walk</t>
        </is>
      </c>
      <c r="H6" s="9">
        <f>COUNTIF('All Listings'!$A$2:$A$57,B6)</f>
        <v/>
      </c>
      <c r="I6" s="11">
        <f>_xlfn.MINIFS('All Listings'!$G$2:$G$57,'All Listings'!$A$2:$A$57,B6)</f>
        <v/>
      </c>
      <c r="J6" s="11">
        <f>_xlfn.MAXIFS('All Listings'!$G$2:$G$57,'All Listings'!$A$2:$A$57,B6)</f>
        <v/>
      </c>
      <c r="K6" s="11">
        <f>_xlfn.MINIFS('All Listings'!$H$2:$H$57,'All Listings'!$A$2:$A$57,B6)</f>
        <v/>
      </c>
      <c r="L6" s="10">
        <f>_xlfn.MAXIFS('All Listings'!$F$2:$F$57,'All Listings'!$A$2:$A$57,B6)</f>
        <v/>
      </c>
      <c r="M6" s="9" t="inlineStr">
        <is>
          <t>Yes</t>
        </is>
      </c>
    </row>
    <row r="7">
      <c r="A7" s="9" t="n">
        <v>6</v>
      </c>
      <c r="B7" s="9" t="inlineStr">
        <is>
          <t>Westwood Residences</t>
        </is>
      </c>
      <c r="C7" s="9" t="inlineStr">
        <is>
          <t>West</t>
        </is>
      </c>
      <c r="D7" s="9" t="inlineStr">
        <is>
          <t>Jurong West</t>
        </is>
      </c>
      <c r="E7" s="9" t="inlineStr">
        <is>
          <t>2017</t>
        </is>
      </c>
      <c r="F7" s="10" t="n">
        <v>480</v>
      </c>
      <c r="G7" s="9" t="inlineStr">
        <is>
          <t>Boon Lay &amp; Pioneer MRT</t>
        </is>
      </c>
      <c r="H7" s="9">
        <f>COUNTIF('All Listings'!$A$2:$A$57,B7)</f>
        <v/>
      </c>
      <c r="I7" s="11">
        <f>_xlfn.MINIFS('All Listings'!$G$2:$G$57,'All Listings'!$A$2:$A$57,B7)</f>
        <v/>
      </c>
      <c r="J7" s="11">
        <f>_xlfn.MAXIFS('All Listings'!$G$2:$G$57,'All Listings'!$A$2:$A$57,B7)</f>
        <v/>
      </c>
      <c r="K7" s="11">
        <f>_xlfn.MINIFS('All Listings'!$H$2:$H$57,'All Listings'!$A$2:$A$57,B7)</f>
        <v/>
      </c>
      <c r="L7" s="10">
        <f>_xlfn.MAXIFS('All Listings'!$F$2:$F$57,'All Listings'!$A$2:$A$57,B7)</f>
        <v/>
      </c>
      <c r="M7" s="9" t="inlineStr">
        <is>
          <t>Yes</t>
        </is>
      </c>
    </row>
    <row r="8">
      <c r="A8" s="9" t="n">
        <v>7</v>
      </c>
      <c r="B8" s="9" t="inlineStr">
        <is>
          <t>Lake Life</t>
        </is>
      </c>
      <c r="C8" s="9" t="inlineStr">
        <is>
          <t>West</t>
        </is>
      </c>
      <c r="D8" s="9" t="inlineStr">
        <is>
          <t>Jurong West</t>
        </is>
      </c>
      <c r="E8" s="9" t="inlineStr">
        <is>
          <t>2016</t>
        </is>
      </c>
      <c r="F8" s="10" t="n">
        <v>546</v>
      </c>
      <c r="G8" s="9" t="inlineStr">
        <is>
          <t>Lakeside MRT, ~1.4km</t>
        </is>
      </c>
      <c r="H8" s="9">
        <f>COUNTIF('All Listings'!$A$2:$A$57,B8)</f>
        <v/>
      </c>
      <c r="I8" s="11">
        <f>_xlfn.MINIFS('All Listings'!$G$2:$G$57,'All Listings'!$A$2:$A$57,B8)</f>
        <v/>
      </c>
      <c r="J8" s="11">
        <f>_xlfn.MAXIFS('All Listings'!$G$2:$G$57,'All Listings'!$A$2:$A$57,B8)</f>
        <v/>
      </c>
      <c r="K8" s="11">
        <f>_xlfn.MINIFS('All Listings'!$H$2:$H$57,'All Listings'!$A$2:$A$57,B8)</f>
        <v/>
      </c>
      <c r="L8" s="10">
        <f>_xlfn.MAXIFS('All Listings'!$F$2:$F$57,'All Listings'!$A$2:$A$57,B8)</f>
        <v/>
      </c>
      <c r="M8" s="9" t="inlineStr">
        <is>
          <t>Yes</t>
        </is>
      </c>
    </row>
    <row r="9">
      <c r="A9" s="9" t="n">
        <v>8</v>
      </c>
      <c r="B9" s="9" t="inlineStr">
        <is>
          <t>The Topiary</t>
        </is>
      </c>
      <c r="C9" s="9" t="inlineStr">
        <is>
          <t>North-East</t>
        </is>
      </c>
      <c r="D9" s="9" t="inlineStr">
        <is>
          <t>Sengkang</t>
        </is>
      </c>
      <c r="E9" s="9" t="inlineStr">
        <is>
          <t>2016</t>
        </is>
      </c>
      <c r="F9" s="10" t="n">
        <v>700</v>
      </c>
      <c r="G9" s="9" t="inlineStr">
        <is>
          <t>Fernvale LRT, ~550m</t>
        </is>
      </c>
      <c r="H9" s="9">
        <f>COUNTIF('All Listings'!$A$2:$A$57,B9)</f>
        <v/>
      </c>
      <c r="I9" s="11">
        <f>_xlfn.MINIFS('All Listings'!$G$2:$G$57,'All Listings'!$A$2:$A$57,B9)</f>
        <v/>
      </c>
      <c r="J9" s="11">
        <f>_xlfn.MAXIFS('All Listings'!$G$2:$G$57,'All Listings'!$A$2:$A$57,B9)</f>
        <v/>
      </c>
      <c r="K9" s="11">
        <f>_xlfn.MINIFS('All Listings'!$H$2:$H$57,'All Listings'!$A$2:$A$57,B9)</f>
        <v/>
      </c>
      <c r="L9" s="10">
        <f>_xlfn.MAXIFS('All Listings'!$F$2:$F$57,'All Listings'!$A$2:$A$57,B9)</f>
        <v/>
      </c>
      <c r="M9" s="9" t="inlineStr">
        <is>
          <t>Yes</t>
        </is>
      </c>
    </row>
    <row r="10">
      <c r="A10" s="9" t="n">
        <v>9</v>
      </c>
      <c r="B10" s="9" t="inlineStr">
        <is>
          <t>Ecopolitan</t>
        </is>
      </c>
      <c r="C10" s="9" t="inlineStr">
        <is>
          <t>North-East</t>
        </is>
      </c>
      <c r="D10" s="9" t="inlineStr">
        <is>
          <t>Punggol</t>
        </is>
      </c>
      <c r="E10" s="9" t="inlineStr">
        <is>
          <t>2016</t>
        </is>
      </c>
      <c r="F10" s="10" t="n">
        <v>512</v>
      </c>
      <c r="G10" s="9" t="inlineStr">
        <is>
          <t>Punggol MRT, ~700m</t>
        </is>
      </c>
      <c r="H10" s="9">
        <f>COUNTIF('All Listings'!$A$2:$A$57,B10)</f>
        <v/>
      </c>
      <c r="I10" s="11">
        <f>_xlfn.MINIFS('All Listings'!$G$2:$G$57,'All Listings'!$A$2:$A$57,B10)</f>
        <v/>
      </c>
      <c r="J10" s="11">
        <f>_xlfn.MAXIFS('All Listings'!$G$2:$G$57,'All Listings'!$A$2:$A$57,B10)</f>
        <v/>
      </c>
      <c r="K10" s="11">
        <f>_xlfn.MINIFS('All Listings'!$H$2:$H$57,'All Listings'!$A$2:$A$57,B10)</f>
        <v/>
      </c>
      <c r="L10" s="10">
        <f>_xlfn.MAXIFS('All Listings'!$F$2:$F$57,'All Listings'!$A$2:$A$57,B10)</f>
        <v/>
      </c>
      <c r="M10" s="9" t="inlineStr">
        <is>
          <t>Yes</t>
        </is>
      </c>
    </row>
    <row r="11">
      <c r="A11" s="9" t="n">
        <v>10</v>
      </c>
      <c r="B11" s="9" t="inlineStr">
        <is>
          <t>The Amore</t>
        </is>
      </c>
      <c r="C11" s="9" t="inlineStr">
        <is>
          <t>North-East</t>
        </is>
      </c>
      <c r="D11" s="9" t="inlineStr">
        <is>
          <t>Punggol</t>
        </is>
      </c>
      <c r="E11" s="9" t="inlineStr">
        <is>
          <t>2016</t>
        </is>
      </c>
      <c r="F11" s="10" t="n">
        <v>378</v>
      </c>
      <c r="G11" s="9" t="inlineStr">
        <is>
          <t>Oasis LRT, ~310m</t>
        </is>
      </c>
      <c r="H11" s="9">
        <f>COUNTIF('All Listings'!$A$2:$A$57,B11)</f>
        <v/>
      </c>
      <c r="I11" s="11">
        <f>_xlfn.MINIFS('All Listings'!$G$2:$G$57,'All Listings'!$A$2:$A$57,B11)</f>
        <v/>
      </c>
      <c r="J11" s="11">
        <f>_xlfn.MAXIFS('All Listings'!$G$2:$G$57,'All Listings'!$A$2:$A$57,B11)</f>
        <v/>
      </c>
      <c r="K11" s="11">
        <f>_xlfn.MINIFS('All Listings'!$H$2:$H$57,'All Listings'!$A$2:$A$57,B11)</f>
        <v/>
      </c>
      <c r="L11" s="10">
        <f>_xlfn.MAXIFS('All Listings'!$F$2:$F$57,'All Listings'!$A$2:$A$57,B11)</f>
        <v/>
      </c>
      <c r="M11" s="9" t="inlineStr">
        <is>
          <t>Yes</t>
        </is>
      </c>
    </row>
    <row r="12">
      <c r="A12" s="13" t="n">
        <v>11</v>
      </c>
      <c r="B12" s="13" t="inlineStr">
        <is>
          <t>Parc Life</t>
        </is>
      </c>
      <c r="C12" s="13" t="inlineStr">
        <is>
          <t>North</t>
        </is>
      </c>
      <c r="D12" s="13" t="inlineStr">
        <is>
          <t>Sembawang</t>
        </is>
      </c>
      <c r="E12" s="13" t="inlineStr">
        <is>
          <t>2018</t>
        </is>
      </c>
      <c r="F12" s="14" t="n">
        <v>628</v>
      </c>
      <c r="G12" s="13" t="inlineStr">
        <is>
          <t>Sembawang MRT, ~500m</t>
        </is>
      </c>
      <c r="H12" s="13">
        <f>COUNTIF('All Listings'!$A$2:$A$57,B12)</f>
        <v/>
      </c>
      <c r="I12" s="15">
        <f>_xlfn.MINIFS('All Listings'!$G$2:$G$57,'All Listings'!$A$2:$A$57,B12)</f>
        <v/>
      </c>
      <c r="J12" s="15">
        <f>_xlfn.MAXIFS('All Listings'!$G$2:$G$57,'All Listings'!$A$2:$A$57,B12)</f>
        <v/>
      </c>
      <c r="K12" s="15">
        <f>_xlfn.MINIFS('All Listings'!$H$2:$H$57,'All Listings'!$A$2:$A$57,B12)</f>
        <v/>
      </c>
      <c r="L12" s="14">
        <f>_xlfn.MAXIFS('All Listings'!$F$2:$F$57,'All Listings'!$A$2:$A$57,B12)</f>
        <v/>
      </c>
      <c r="M12" s="13" t="inlineStr"/>
    </row>
    <row r="13">
      <c r="A13" s="13" t="n">
        <v>12</v>
      </c>
      <c r="B13" s="13" t="inlineStr">
        <is>
          <t>The Criterion</t>
        </is>
      </c>
      <c r="C13" s="13" t="inlineStr">
        <is>
          <t>North</t>
        </is>
      </c>
      <c r="D13" s="13" t="inlineStr">
        <is>
          <t>Yishun</t>
        </is>
      </c>
      <c r="E13" s="13" t="inlineStr">
        <is>
          <t>2018</t>
        </is>
      </c>
      <c r="F13" s="14" t="n">
        <v>525</v>
      </c>
      <c r="G13" s="13" t="inlineStr">
        <is>
          <t>Khatib MRT</t>
        </is>
      </c>
      <c r="H13" s="13">
        <f>COUNTIF('All Listings'!$A$2:$A$57,B13)</f>
        <v/>
      </c>
      <c r="I13" s="15">
        <f>_xlfn.MINIFS('All Listings'!$G$2:$G$57,'All Listings'!$A$2:$A$57,B13)</f>
        <v/>
      </c>
      <c r="J13" s="15">
        <f>_xlfn.MAXIFS('All Listings'!$G$2:$G$57,'All Listings'!$A$2:$A$57,B13)</f>
        <v/>
      </c>
      <c r="K13" s="15">
        <f>_xlfn.MINIFS('All Listings'!$H$2:$H$57,'All Listings'!$A$2:$A$57,B13)</f>
        <v/>
      </c>
      <c r="L13" s="14">
        <f>_xlfn.MAXIFS('All Listings'!$F$2:$F$57,'All Listings'!$A$2:$A$57,B13)</f>
        <v/>
      </c>
      <c r="M13" s="13" t="inlineStr"/>
    </row>
    <row r="14">
      <c r="A14" s="13" t="n">
        <v>13</v>
      </c>
      <c r="B14" s="13" t="inlineStr">
        <is>
          <t>Bellewoods</t>
        </is>
      </c>
      <c r="C14" s="13" t="inlineStr">
        <is>
          <t>North</t>
        </is>
      </c>
      <c r="D14" s="13" t="inlineStr">
        <is>
          <t>Woodlands</t>
        </is>
      </c>
      <c r="E14" s="13" t="inlineStr">
        <is>
          <t>2017</t>
        </is>
      </c>
      <c r="F14" s="14" t="n">
        <v>561</v>
      </c>
      <c r="G14" s="13" t="inlineStr">
        <is>
          <t>Admiralty MRT, ~900m</t>
        </is>
      </c>
      <c r="H14" s="13">
        <f>COUNTIF('All Listings'!$A$2:$A$57,B14)</f>
        <v/>
      </c>
      <c r="I14" s="15">
        <f>_xlfn.MINIFS('All Listings'!$G$2:$G$57,'All Listings'!$A$2:$A$57,B14)</f>
        <v/>
      </c>
      <c r="J14" s="15">
        <f>_xlfn.MAXIFS('All Listings'!$G$2:$G$57,'All Listings'!$A$2:$A$57,B14)</f>
        <v/>
      </c>
      <c r="K14" s="15">
        <f>_xlfn.MINIFS('All Listings'!$H$2:$H$57,'All Listings'!$A$2:$A$57,B14)</f>
        <v/>
      </c>
      <c r="L14" s="14">
        <f>_xlfn.MAXIFS('All Listings'!$F$2:$F$57,'All Listings'!$A$2:$A$57,B14)</f>
        <v/>
      </c>
      <c r="M14" s="13" t="inlineStr"/>
    </row>
    <row r="15">
      <c r="A15" s="13" t="n">
        <v>14</v>
      </c>
      <c r="B15" s="13" t="inlineStr">
        <is>
          <t>Sol Acres</t>
        </is>
      </c>
      <c r="C15" s="13" t="inlineStr">
        <is>
          <t>West</t>
        </is>
      </c>
      <c r="D15" s="13" t="inlineStr">
        <is>
          <t>Choa Chu Kang</t>
        </is>
      </c>
      <c r="E15" s="13" t="inlineStr">
        <is>
          <t>2018</t>
        </is>
      </c>
      <c r="F15" s="14" t="n">
        <v>1327</v>
      </c>
      <c r="G15" s="13" t="inlineStr">
        <is>
          <t>Keat Hong LRT, ~230m</t>
        </is>
      </c>
      <c r="H15" s="13">
        <f>COUNTIF('All Listings'!$A$2:$A$57,B15)</f>
        <v/>
      </c>
      <c r="I15" s="15">
        <f>_xlfn.MINIFS('All Listings'!$G$2:$G$57,'All Listings'!$A$2:$A$57,B15)</f>
        <v/>
      </c>
      <c r="J15" s="15">
        <f>_xlfn.MAXIFS('All Listings'!$G$2:$G$57,'All Listings'!$A$2:$A$57,B15)</f>
        <v/>
      </c>
      <c r="K15" s="15">
        <f>_xlfn.MINIFS('All Listings'!$H$2:$H$57,'All Listings'!$A$2:$A$57,B15)</f>
        <v/>
      </c>
      <c r="L15" s="14">
        <f>_xlfn.MAXIFS('All Listings'!$F$2:$F$57,'All Listings'!$A$2:$A$57,B15)</f>
        <v/>
      </c>
      <c r="M15" s="13" t="inlineStr"/>
    </row>
    <row r="16">
      <c r="A16" s="13" t="n">
        <v>15</v>
      </c>
      <c r="B16" s="13" t="inlineStr">
        <is>
          <t>The Visionaire</t>
        </is>
      </c>
      <c r="C16" s="13" t="inlineStr">
        <is>
          <t>North</t>
        </is>
      </c>
      <c r="D16" s="13" t="inlineStr">
        <is>
          <t>Sembawang</t>
        </is>
      </c>
      <c r="E16" s="13" t="inlineStr">
        <is>
          <t>2018</t>
        </is>
      </c>
      <c r="F16" s="14" t="n">
        <v>632</v>
      </c>
      <c r="G16" s="13" t="inlineStr">
        <is>
          <t>Canberra MRT, ~500m</t>
        </is>
      </c>
      <c r="H16" s="13">
        <f>COUNTIF('All Listings'!$A$2:$A$57,B16)</f>
        <v/>
      </c>
      <c r="I16" s="15">
        <f>_xlfn.MINIFS('All Listings'!$G$2:$G$57,'All Listings'!$A$2:$A$57,B16)</f>
        <v/>
      </c>
      <c r="J16" s="15">
        <f>_xlfn.MAXIFS('All Listings'!$G$2:$G$57,'All Listings'!$A$2:$A$57,B16)</f>
        <v/>
      </c>
      <c r="K16" s="15">
        <f>_xlfn.MINIFS('All Listings'!$H$2:$H$57,'All Listings'!$A$2:$A$57,B16)</f>
        <v/>
      </c>
      <c r="L16" s="14">
        <f>_xlfn.MAXIFS('All Listings'!$F$2:$F$57,'All Listings'!$A$2:$A$57,B16)</f>
        <v/>
      </c>
      <c r="M16" s="13" t="inlineStr"/>
    </row>
    <row r="17">
      <c r="A17" s="13" t="n">
        <v>16</v>
      </c>
      <c r="B17" s="13" t="inlineStr">
        <is>
          <t>The Terrace</t>
        </is>
      </c>
      <c r="C17" s="13" t="inlineStr">
        <is>
          <t>North-East</t>
        </is>
      </c>
      <c r="D17" s="13" t="inlineStr">
        <is>
          <t>Punggol</t>
        </is>
      </c>
      <c r="E17" s="13" t="inlineStr">
        <is>
          <t>2017</t>
        </is>
      </c>
      <c r="F17" s="14" t="n">
        <v>747</v>
      </c>
      <c r="G17" s="13" t="inlineStr">
        <is>
          <t>Kadaloor LRT, 2 min walk</t>
        </is>
      </c>
      <c r="H17" s="13">
        <f>COUNTIF('All Listings'!$A$2:$A$57,B17)</f>
        <v/>
      </c>
      <c r="I17" s="15">
        <f>_xlfn.MINIFS('All Listings'!$G$2:$G$57,'All Listings'!$A$2:$A$57,B17)</f>
        <v/>
      </c>
      <c r="J17" s="15">
        <f>_xlfn.MAXIFS('All Listings'!$G$2:$G$57,'All Listings'!$A$2:$A$57,B17)</f>
        <v/>
      </c>
      <c r="K17" s="15">
        <f>_xlfn.MINIFS('All Listings'!$H$2:$H$57,'All Listings'!$A$2:$A$57,B17)</f>
        <v/>
      </c>
      <c r="L17" s="14">
        <f>_xlfn.MAXIFS('All Listings'!$F$2:$F$57,'All Listings'!$A$2:$A$57,B17)</f>
        <v/>
      </c>
      <c r="M17" s="13" t="inlineStr"/>
    </row>
    <row r="18">
      <c r="A18" s="19" t="inlineStr"/>
      <c r="B18" s="19" t="inlineStr">
        <is>
          <t>Total</t>
        </is>
      </c>
      <c r="C18" s="19" t="inlineStr"/>
      <c r="D18" s="19" t="inlineStr"/>
      <c r="E18" s="19" t="inlineStr"/>
      <c r="F18" s="20">
        <f>SUM(F2:F17)</f>
        <v/>
      </c>
      <c r="G18" s="19" t="inlineStr"/>
      <c r="H18" s="19">
        <f>SUM(H2:H17)</f>
        <v/>
      </c>
      <c r="I18" s="21">
        <f>MIN(I2:I17)</f>
        <v/>
      </c>
      <c r="J18" s="21">
        <f>MAX(J2:J17)</f>
        <v/>
      </c>
      <c r="K18" s="21">
        <f>MIN(K2:K17)</f>
        <v/>
      </c>
      <c r="L18" s="20">
        <f>MAX(L2:L17)</f>
        <v/>
      </c>
      <c r="M18" s="19" t="inlineStr"/>
    </row>
  </sheetData>
  <autoFilter ref="A1:M17"/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2026-09-30T05:42:33Z</dcterms:created>
  <dcterms:modified xsi:type="dcterms:W3CDTF">2026-09-30T05:50:13Z</dcterms:modified>
</cp:coreProperties>
</file>